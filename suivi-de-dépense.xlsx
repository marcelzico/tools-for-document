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ICO\Desktop\"/>
    </mc:Choice>
  </mc:AlternateContent>
  <xr:revisionPtr revIDLastSave="0" documentId="13_ncr:1_{4BC96F3E-47EE-45CE-97AB-B6F9646EC1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J3" i="1"/>
  <c r="J10" i="1"/>
  <c r="J9" i="1"/>
  <c r="J7" i="1"/>
  <c r="J6" i="1"/>
  <c r="J4" i="1"/>
  <c r="J5" i="1"/>
  <c r="J8" i="1"/>
  <c r="J2" i="1"/>
</calcChain>
</file>

<file path=xl/sharedStrings.xml><?xml version="1.0" encoding="utf-8"?>
<sst xmlns="http://schemas.openxmlformats.org/spreadsheetml/2006/main" count="18" uniqueCount="17">
  <si>
    <t>VOLA NIDITRA REHETRA</t>
  </si>
  <si>
    <t>VOLA NIVOAKA REHETRA</t>
  </si>
  <si>
    <t>Vola lany tamin'ny rô</t>
  </si>
  <si>
    <t>vola lany tamin'ny vary</t>
  </si>
  <si>
    <t>Vola lany tamin'ny menaka</t>
  </si>
  <si>
    <t>Vola lany tamin'ny sariboa</t>
  </si>
  <si>
    <t>Vola lany tamin'ny fitaovam-pianarana</t>
  </si>
  <si>
    <t>Vola lany tamin'ny saran-dalana</t>
  </si>
  <si>
    <t>Vola lany tamin'ny fiatafiana</t>
  </si>
  <si>
    <t>Hofan-jiro</t>
  </si>
  <si>
    <t>Hofan-trano</t>
  </si>
  <si>
    <t>DATY</t>
  </si>
  <si>
    <t>ZAVATRA NOVIDIANA</t>
  </si>
  <si>
    <t>VIDINY</t>
  </si>
  <si>
    <t>VOLA SISA TAVELA</t>
  </si>
  <si>
    <t>VOLA MIDITRA</t>
  </si>
  <si>
    <t>FAMAKAFAKANA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</si>
</sst>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6" formatCode="[$Ar]\ #,##0" x16r2:formatCode16="[$Ar-mg-MG]\ 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66" fontId="0" fillId="0" borderId="0" xfId="1" applyNumberFormat="1" applyFont="1"/>
    <xf numFmtId="166" fontId="0" fillId="0" borderId="0" xfId="0" applyNumberFormat="1"/>
  </cellXfs>
  <cellStyles count="2">
    <cellStyle name="Monétaire" xfId="1" builtinId="4"/>
    <cellStyle name="Normal" xfId="0" builtinId="0"/>
  </cellStyles>
  <dxfs count="5">
    <dxf>
      <numFmt numFmtId="166" formatCode="[$Ar]\ #,##0" x16r2:formatCode16="[$Ar-mg-MG]\ #,##0"/>
    </dxf>
    <dxf>
      <numFmt numFmtId="166" formatCode="[$Ar]\ #,##0" x16r2:formatCode16="[$Ar-mg-MG]\ #,##0"/>
    </dxf>
    <dxf>
      <numFmt numFmtId="166" formatCode="[$Ar]\ #,##0" x16r2:formatCode16="[$Ar-mg-MG]\ #,##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009D8-FDC3-43AB-BE38-05401BC43617}" name="Tableau1" displayName="Tableau1" ref="A1:E121" totalsRowShown="0" headerRowDxfId="4">
  <autoFilter ref="A1:E121" xr:uid="{2AB009D8-FDC3-43AB-BE38-05401BC43617}"/>
  <tableColumns count="5">
    <tableColumn id="1" xr3:uid="{1BB1B74C-A5CD-4870-941C-2A3FF46E42E9}" name="DATY"/>
    <tableColumn id="2" xr3:uid="{ED4531F3-45C7-40FA-81DD-1D9213266A40}" name="ZAVATRA NOVIDIANA"/>
    <tableColumn id="3" xr3:uid="{2748220C-AEAB-41AF-A6C4-6F84B3933ECA}" name="VIDINY"/>
    <tableColumn id="6" xr3:uid="{FC06D24C-2C87-49E6-B5E2-87CC74645AF7}" name="VOLA SISA TAVELA" dataDxfId="0">
      <calculatedColumnFormula>Tableau1[[#This Row],[VOLA MIDITRA]]-Tableau1[[#This Row],[VIDINY]]</calculatedColumnFormula>
    </tableColumn>
    <tableColumn id="4" xr3:uid="{DBD94882-E2A7-4C76-BC46-B477D03BF17B}" name="VOLA MIDITRA" dataDxfId="2" dataCellStyle="Monétai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1DC05E-0C1D-41F6-954B-4C1E7D8CC522}" name="Tableau2" displayName="Tableau2" ref="I1:J12" totalsRowShown="0" headerRowDxfId="3">
  <autoFilter ref="I1:J12" xr:uid="{661DC05E-0C1D-41F6-954B-4C1E7D8CC522}"/>
  <tableColumns count="2">
    <tableColumn id="1" xr3:uid="{F4782438-4CA4-437C-AFB9-42FEE46C1F94}" name="FAMAKAFAKANA"/>
    <tableColumn id="2" xr3:uid="{C924D77C-AA3E-4EBB-A770-D71D3CCACA46}" name="VIDINY" dataDxfId="1">
      <calculatedColumnFormula>SUM(E2:E121)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workbookViewId="0">
      <selection activeCell="D3" sqref="D3"/>
    </sheetView>
  </sheetViews>
  <sheetFormatPr baseColWidth="10" defaultColWidth="8.7265625" defaultRowHeight="14.5" x14ac:dyDescent="0.35"/>
  <cols>
    <col min="1" max="1" width="17.08984375" customWidth="1"/>
    <col min="2" max="2" width="40.6328125" customWidth="1"/>
    <col min="3" max="3" width="14.36328125" customWidth="1"/>
    <col min="4" max="4" width="20.26953125" customWidth="1"/>
    <col min="5" max="5" width="17.453125" style="3" customWidth="1"/>
    <col min="6" max="6" width="4.90625" customWidth="1"/>
    <col min="7" max="7" width="17.54296875" hidden="1" customWidth="1"/>
    <col min="8" max="8" width="8.7265625" hidden="1" customWidth="1"/>
    <col min="9" max="9" width="34.26953125" customWidth="1"/>
    <col min="10" max="10" width="17.08984375" customWidth="1"/>
  </cols>
  <sheetData>
    <row r="1" spans="1:10" s="1" customFormat="1" x14ac:dyDescent="0.35">
      <c r="A1" s="1" t="s">
        <v>11</v>
      </c>
      <c r="B1" s="1" t="s">
        <v>12</v>
      </c>
      <c r="C1" s="1" t="s">
        <v>13</v>
      </c>
      <c r="D1" s="1" t="s">
        <v>14</v>
      </c>
      <c r="E1" s="2" t="s">
        <v>15</v>
      </c>
      <c r="I1" s="1" t="s">
        <v>16</v>
      </c>
      <c r="J1" s="1" t="s">
        <v>13</v>
      </c>
    </row>
    <row r="2" spans="1:10" x14ac:dyDescent="0.35">
      <c r="D2" s="4">
        <f>Tableau1[[#This Row],[VOLA MIDITRA]]-Tableau1[[#This Row],[VIDINY]]</f>
        <v>30000</v>
      </c>
      <c r="E2" s="3">
        <v>30000</v>
      </c>
      <c r="I2" t="s">
        <v>0</v>
      </c>
      <c r="J2" s="4">
        <f>SUM(E2:E121)</f>
        <v>30000</v>
      </c>
    </row>
    <row r="3" spans="1:10" x14ac:dyDescent="0.35">
      <c r="D3" s="4">
        <f>Tableau1[[#This Row],[VOLA MIDITRA]]-Tableau1[[#This Row],[VIDINY]]</f>
        <v>0</v>
      </c>
      <c r="I3" t="s">
        <v>1</v>
      </c>
      <c r="J3" s="4">
        <f>SUM(C2:C121)+J11+J12</f>
        <v>0</v>
      </c>
    </row>
    <row r="4" spans="1:10" x14ac:dyDescent="0.35">
      <c r="D4" s="4">
        <f>Tableau1[[#This Row],[VOLA MIDITRA]]-Tableau1[[#This Row],[VIDINY]]</f>
        <v>0</v>
      </c>
      <c r="I4" t="s">
        <v>2</v>
      </c>
      <c r="J4" s="4">
        <f>SUMIF($B$2:$B$121, "vary", $C$2:$C$121)</f>
        <v>0</v>
      </c>
    </row>
    <row r="5" spans="1:10" x14ac:dyDescent="0.35">
      <c r="D5" s="4">
        <f>Tableau1[[#This Row],[VOLA MIDITRA]]-Tableau1[[#This Row],[VIDINY]]</f>
        <v>0</v>
      </c>
      <c r="I5" t="s">
        <v>3</v>
      </c>
      <c r="J5" s="4">
        <f t="shared" ref="J5:J10" si="0">SUMIF($B$2:$B$121, "rô", $C$2:$C$121)</f>
        <v>0</v>
      </c>
    </row>
    <row r="6" spans="1:10" x14ac:dyDescent="0.35">
      <c r="D6" s="4">
        <f>Tableau1[[#This Row],[VOLA MIDITRA]]-Tableau1[[#This Row],[VIDINY]]</f>
        <v>0</v>
      </c>
      <c r="I6" t="s">
        <v>4</v>
      </c>
      <c r="J6" s="4">
        <f>SUMIF($B$2:$B$121, "menaka", $C$2:$C$121)</f>
        <v>0</v>
      </c>
    </row>
    <row r="7" spans="1:10" x14ac:dyDescent="0.35">
      <c r="D7" s="4">
        <f>Tableau1[[#This Row],[VOLA MIDITRA]]-Tableau1[[#This Row],[VIDINY]]</f>
        <v>0</v>
      </c>
      <c r="I7" t="s">
        <v>5</v>
      </c>
      <c r="J7" s="4">
        <f>SUMIF($B$2:$B$121, "fitoavam-pianarana", $C$2:$C$121)</f>
        <v>0</v>
      </c>
    </row>
    <row r="8" spans="1:10" x14ac:dyDescent="0.35">
      <c r="D8" s="4">
        <f>Tableau1[[#This Row],[VOLA MIDITRA]]-Tableau1[[#This Row],[VIDINY]]</f>
        <v>0</v>
      </c>
      <c r="I8" t="s">
        <v>6</v>
      </c>
      <c r="J8" s="4">
        <f t="shared" si="0"/>
        <v>0</v>
      </c>
    </row>
    <row r="9" spans="1:10" x14ac:dyDescent="0.35">
      <c r="D9" s="4">
        <f>Tableau1[[#This Row],[VOLA MIDITRA]]-Tableau1[[#This Row],[VIDINY]]</f>
        <v>0</v>
      </c>
      <c r="I9" t="s">
        <v>7</v>
      </c>
      <c r="J9" s="4">
        <f>SUMIF($B$2:$B$121, "frais", $C$2:$C$121)</f>
        <v>0</v>
      </c>
    </row>
    <row r="10" spans="1:10" x14ac:dyDescent="0.35">
      <c r="D10" s="4">
        <f>Tableau1[[#This Row],[VOLA MIDITRA]]-Tableau1[[#This Row],[VIDINY]]</f>
        <v>0</v>
      </c>
      <c r="I10" t="s">
        <v>8</v>
      </c>
      <c r="J10" s="4">
        <f>SUMIF($B$2:$B$121, "fitafiana", $C$2:$C$121)</f>
        <v>0</v>
      </c>
    </row>
    <row r="11" spans="1:10" x14ac:dyDescent="0.35">
      <c r="D11" s="4">
        <f>Tableau1[[#This Row],[VOLA MIDITRA]]-Tableau1[[#This Row],[VIDINY]]</f>
        <v>0</v>
      </c>
      <c r="I11" t="s">
        <v>9</v>
      </c>
      <c r="J11" s="4"/>
    </row>
    <row r="12" spans="1:10" x14ac:dyDescent="0.35">
      <c r="D12" s="4">
        <f>Tableau1[[#This Row],[VOLA MIDITRA]]-Tableau1[[#This Row],[VIDINY]]</f>
        <v>0</v>
      </c>
      <c r="I12" t="s">
        <v>10</v>
      </c>
      <c r="J12" s="4"/>
    </row>
    <row r="13" spans="1:10" x14ac:dyDescent="0.35">
      <c r="D13" s="4">
        <f>Tableau1[[#This Row],[VOLA MIDITRA]]-Tableau1[[#This Row],[VIDINY]]</f>
        <v>0</v>
      </c>
    </row>
    <row r="14" spans="1:10" x14ac:dyDescent="0.35">
      <c r="D14" s="4">
        <f>Tableau1[[#This Row],[VOLA MIDITRA]]-Tableau1[[#This Row],[VIDINY]]</f>
        <v>0</v>
      </c>
    </row>
    <row r="15" spans="1:10" x14ac:dyDescent="0.35">
      <c r="D15" s="4">
        <f>Tableau1[[#This Row],[VOLA MIDITRA]]-Tableau1[[#This Row],[VIDINY]]</f>
        <v>0</v>
      </c>
    </row>
    <row r="16" spans="1:10" x14ac:dyDescent="0.35">
      <c r="D16" s="4">
        <f>Tableau1[[#This Row],[VOLA MIDITRA]]-Tableau1[[#This Row],[VIDINY]]</f>
        <v>0</v>
      </c>
    </row>
    <row r="17" spans="4:4" x14ac:dyDescent="0.35">
      <c r="D17" s="4">
        <f>Tableau1[[#This Row],[VOLA MIDITRA]]-Tableau1[[#This Row],[VIDINY]]</f>
        <v>0</v>
      </c>
    </row>
    <row r="18" spans="4:4" x14ac:dyDescent="0.35">
      <c r="D18" s="4">
        <f>Tableau1[[#This Row],[VOLA MIDITRA]]-Tableau1[[#This Row],[VIDINY]]</f>
        <v>0</v>
      </c>
    </row>
    <row r="19" spans="4:4" x14ac:dyDescent="0.35">
      <c r="D19" s="4">
        <f>Tableau1[[#This Row],[VOLA MIDITRA]]-Tableau1[[#This Row],[VIDINY]]</f>
        <v>0</v>
      </c>
    </row>
    <row r="20" spans="4:4" x14ac:dyDescent="0.35">
      <c r="D20" s="4">
        <f>Tableau1[[#This Row],[VOLA MIDITRA]]-Tableau1[[#This Row],[VIDINY]]</f>
        <v>0</v>
      </c>
    </row>
    <row r="21" spans="4:4" x14ac:dyDescent="0.35">
      <c r="D21" s="4">
        <f>Tableau1[[#This Row],[VOLA MIDITRA]]-Tableau1[[#This Row],[VIDINY]]</f>
        <v>0</v>
      </c>
    </row>
    <row r="22" spans="4:4" x14ac:dyDescent="0.35">
      <c r="D22" s="4">
        <f>Tableau1[[#This Row],[VOLA MIDITRA]]-Tableau1[[#This Row],[VIDINY]]</f>
        <v>0</v>
      </c>
    </row>
    <row r="23" spans="4:4" x14ac:dyDescent="0.35">
      <c r="D23" s="4">
        <f>Tableau1[[#This Row],[VOLA MIDITRA]]-Tableau1[[#This Row],[VIDINY]]</f>
        <v>0</v>
      </c>
    </row>
    <row r="24" spans="4:4" x14ac:dyDescent="0.35">
      <c r="D24" s="4">
        <f>Tableau1[[#This Row],[VOLA MIDITRA]]-Tableau1[[#This Row],[VIDINY]]</f>
        <v>0</v>
      </c>
    </row>
    <row r="25" spans="4:4" x14ac:dyDescent="0.35">
      <c r="D25" s="4">
        <f>Tableau1[[#This Row],[VOLA MIDITRA]]-Tableau1[[#This Row],[VIDINY]]</f>
        <v>0</v>
      </c>
    </row>
    <row r="26" spans="4:4" x14ac:dyDescent="0.35">
      <c r="D26" s="4">
        <f>Tableau1[[#This Row],[VOLA MIDITRA]]-Tableau1[[#This Row],[VIDINY]]</f>
        <v>0</v>
      </c>
    </row>
    <row r="27" spans="4:4" x14ac:dyDescent="0.35">
      <c r="D27" s="4">
        <f>Tableau1[[#This Row],[VOLA MIDITRA]]-Tableau1[[#This Row],[VIDINY]]</f>
        <v>0</v>
      </c>
    </row>
    <row r="28" spans="4:4" x14ac:dyDescent="0.35">
      <c r="D28" s="4">
        <f>Tableau1[[#This Row],[VOLA MIDITRA]]-Tableau1[[#This Row],[VIDINY]]</f>
        <v>0</v>
      </c>
    </row>
    <row r="29" spans="4:4" x14ac:dyDescent="0.35">
      <c r="D29" s="4">
        <f>Tableau1[[#This Row],[VOLA MIDITRA]]-Tableau1[[#This Row],[VIDINY]]</f>
        <v>0</v>
      </c>
    </row>
    <row r="30" spans="4:4" x14ac:dyDescent="0.35">
      <c r="D30" s="4">
        <f>Tableau1[[#This Row],[VOLA MIDITRA]]-Tableau1[[#This Row],[VIDINY]]</f>
        <v>0</v>
      </c>
    </row>
    <row r="31" spans="4:4" x14ac:dyDescent="0.35">
      <c r="D31" s="4">
        <f>Tableau1[[#This Row],[VOLA MIDITRA]]-Tableau1[[#This Row],[VIDINY]]</f>
        <v>0</v>
      </c>
    </row>
    <row r="32" spans="4:4" x14ac:dyDescent="0.35">
      <c r="D32" s="4">
        <f>Tableau1[[#This Row],[VOLA MIDITRA]]-Tableau1[[#This Row],[VIDINY]]</f>
        <v>0</v>
      </c>
    </row>
    <row r="33" spans="4:4" x14ac:dyDescent="0.35">
      <c r="D33" s="4">
        <f>Tableau1[[#This Row],[VOLA MIDITRA]]-Tableau1[[#This Row],[VIDINY]]</f>
        <v>0</v>
      </c>
    </row>
    <row r="34" spans="4:4" x14ac:dyDescent="0.35">
      <c r="D34" s="4">
        <f>Tableau1[[#This Row],[VOLA MIDITRA]]-Tableau1[[#This Row],[VIDINY]]</f>
        <v>0</v>
      </c>
    </row>
    <row r="35" spans="4:4" x14ac:dyDescent="0.35">
      <c r="D35" s="4">
        <f>Tableau1[[#This Row],[VOLA MIDITRA]]-Tableau1[[#This Row],[VIDINY]]</f>
        <v>0</v>
      </c>
    </row>
    <row r="36" spans="4:4" x14ac:dyDescent="0.35">
      <c r="D36" s="4">
        <f>Tableau1[[#This Row],[VOLA MIDITRA]]-Tableau1[[#This Row],[VIDINY]]</f>
        <v>0</v>
      </c>
    </row>
    <row r="37" spans="4:4" x14ac:dyDescent="0.35">
      <c r="D37" s="4">
        <f>Tableau1[[#This Row],[VOLA MIDITRA]]-Tableau1[[#This Row],[VIDINY]]</f>
        <v>0</v>
      </c>
    </row>
    <row r="38" spans="4:4" x14ac:dyDescent="0.35">
      <c r="D38" s="4">
        <f>Tableau1[[#This Row],[VOLA MIDITRA]]-Tableau1[[#This Row],[VIDINY]]</f>
        <v>0</v>
      </c>
    </row>
    <row r="39" spans="4:4" x14ac:dyDescent="0.35">
      <c r="D39" s="4">
        <f>Tableau1[[#This Row],[VOLA MIDITRA]]-Tableau1[[#This Row],[VIDINY]]</f>
        <v>0</v>
      </c>
    </row>
    <row r="40" spans="4:4" x14ac:dyDescent="0.35">
      <c r="D40" s="4">
        <f>Tableau1[[#This Row],[VOLA MIDITRA]]-Tableau1[[#This Row],[VIDINY]]</f>
        <v>0</v>
      </c>
    </row>
    <row r="41" spans="4:4" x14ac:dyDescent="0.35">
      <c r="D41" s="4">
        <f>Tableau1[[#This Row],[VOLA MIDITRA]]-Tableau1[[#This Row],[VIDINY]]</f>
        <v>0</v>
      </c>
    </row>
    <row r="42" spans="4:4" x14ac:dyDescent="0.35">
      <c r="D42" s="4">
        <f>Tableau1[[#This Row],[VOLA MIDITRA]]-Tableau1[[#This Row],[VIDINY]]</f>
        <v>0</v>
      </c>
    </row>
    <row r="43" spans="4:4" x14ac:dyDescent="0.35">
      <c r="D43" s="4">
        <f>Tableau1[[#This Row],[VOLA MIDITRA]]-Tableau1[[#This Row],[VIDINY]]</f>
        <v>0</v>
      </c>
    </row>
    <row r="44" spans="4:4" x14ac:dyDescent="0.35">
      <c r="D44" s="4">
        <f>Tableau1[[#This Row],[VOLA MIDITRA]]-Tableau1[[#This Row],[VIDINY]]</f>
        <v>0</v>
      </c>
    </row>
    <row r="45" spans="4:4" x14ac:dyDescent="0.35">
      <c r="D45" s="4">
        <f>Tableau1[[#This Row],[VOLA MIDITRA]]-Tableau1[[#This Row],[VIDINY]]</f>
        <v>0</v>
      </c>
    </row>
    <row r="46" spans="4:4" x14ac:dyDescent="0.35">
      <c r="D46" s="4">
        <f>Tableau1[[#This Row],[VOLA MIDITRA]]-Tableau1[[#This Row],[VIDINY]]</f>
        <v>0</v>
      </c>
    </row>
    <row r="47" spans="4:4" x14ac:dyDescent="0.35">
      <c r="D47" s="4">
        <f>Tableau1[[#This Row],[VOLA MIDITRA]]-Tableau1[[#This Row],[VIDINY]]</f>
        <v>0</v>
      </c>
    </row>
    <row r="48" spans="4:4" x14ac:dyDescent="0.35">
      <c r="D48" s="4">
        <f>Tableau1[[#This Row],[VOLA MIDITRA]]-Tableau1[[#This Row],[VIDINY]]</f>
        <v>0</v>
      </c>
    </row>
    <row r="49" spans="4:4" x14ac:dyDescent="0.35">
      <c r="D49" s="4">
        <f>Tableau1[[#This Row],[VOLA MIDITRA]]-Tableau1[[#This Row],[VIDINY]]</f>
        <v>0</v>
      </c>
    </row>
    <row r="50" spans="4:4" x14ac:dyDescent="0.35">
      <c r="D50" s="4">
        <f>Tableau1[[#This Row],[VOLA MIDITRA]]-Tableau1[[#This Row],[VIDINY]]</f>
        <v>0</v>
      </c>
    </row>
    <row r="51" spans="4:4" x14ac:dyDescent="0.35">
      <c r="D51" s="4">
        <f>Tableau1[[#This Row],[VOLA MIDITRA]]-Tableau1[[#This Row],[VIDINY]]</f>
        <v>0</v>
      </c>
    </row>
    <row r="52" spans="4:4" x14ac:dyDescent="0.35">
      <c r="D52" s="4">
        <f>Tableau1[[#This Row],[VOLA MIDITRA]]-Tableau1[[#This Row],[VIDINY]]</f>
        <v>0</v>
      </c>
    </row>
    <row r="53" spans="4:4" x14ac:dyDescent="0.35">
      <c r="D53" s="4">
        <f>Tableau1[[#This Row],[VOLA MIDITRA]]-Tableau1[[#This Row],[VIDINY]]</f>
        <v>0</v>
      </c>
    </row>
    <row r="54" spans="4:4" x14ac:dyDescent="0.35">
      <c r="D54" s="4">
        <f>Tableau1[[#This Row],[VOLA MIDITRA]]-Tableau1[[#This Row],[VIDINY]]</f>
        <v>0</v>
      </c>
    </row>
    <row r="55" spans="4:4" x14ac:dyDescent="0.35">
      <c r="D55" s="4">
        <f>Tableau1[[#This Row],[VOLA MIDITRA]]-Tableau1[[#This Row],[VIDINY]]</f>
        <v>0</v>
      </c>
    </row>
    <row r="56" spans="4:4" x14ac:dyDescent="0.35">
      <c r="D56" s="4">
        <f>Tableau1[[#This Row],[VOLA MIDITRA]]-Tableau1[[#This Row],[VIDINY]]</f>
        <v>0</v>
      </c>
    </row>
    <row r="57" spans="4:4" x14ac:dyDescent="0.35">
      <c r="D57" s="4">
        <f>Tableau1[[#This Row],[VOLA MIDITRA]]-Tableau1[[#This Row],[VIDINY]]</f>
        <v>0</v>
      </c>
    </row>
    <row r="58" spans="4:4" x14ac:dyDescent="0.35">
      <c r="D58" s="4">
        <f>Tableau1[[#This Row],[VOLA MIDITRA]]-Tableau1[[#This Row],[VIDINY]]</f>
        <v>0</v>
      </c>
    </row>
    <row r="59" spans="4:4" x14ac:dyDescent="0.35">
      <c r="D59" s="4">
        <f>Tableau1[[#This Row],[VOLA MIDITRA]]-Tableau1[[#This Row],[VIDINY]]</f>
        <v>0</v>
      </c>
    </row>
    <row r="60" spans="4:4" x14ac:dyDescent="0.35">
      <c r="D60" s="4">
        <f>Tableau1[[#This Row],[VOLA MIDITRA]]-Tableau1[[#This Row],[VIDINY]]</f>
        <v>0</v>
      </c>
    </row>
    <row r="61" spans="4:4" x14ac:dyDescent="0.35">
      <c r="D61" s="4">
        <f>Tableau1[[#This Row],[VOLA MIDITRA]]-Tableau1[[#This Row],[VIDINY]]</f>
        <v>0</v>
      </c>
    </row>
    <row r="62" spans="4:4" x14ac:dyDescent="0.35">
      <c r="D62" s="4">
        <f>Tableau1[[#This Row],[VOLA MIDITRA]]-Tableau1[[#This Row],[VIDINY]]</f>
        <v>0</v>
      </c>
    </row>
    <row r="63" spans="4:4" x14ac:dyDescent="0.35">
      <c r="D63" s="4">
        <f>Tableau1[[#This Row],[VOLA MIDITRA]]-Tableau1[[#This Row],[VIDINY]]</f>
        <v>0</v>
      </c>
    </row>
    <row r="64" spans="4:4" x14ac:dyDescent="0.35">
      <c r="D64" s="4">
        <f>Tableau1[[#This Row],[VOLA MIDITRA]]-Tableau1[[#This Row],[VIDINY]]</f>
        <v>0</v>
      </c>
    </row>
    <row r="65" spans="4:4" x14ac:dyDescent="0.35">
      <c r="D65" s="4">
        <f>Tableau1[[#This Row],[VOLA MIDITRA]]-Tableau1[[#This Row],[VIDINY]]</f>
        <v>0</v>
      </c>
    </row>
    <row r="66" spans="4:4" x14ac:dyDescent="0.35">
      <c r="D66" s="4">
        <f>Tableau1[[#This Row],[VOLA MIDITRA]]-Tableau1[[#This Row],[VIDINY]]</f>
        <v>0</v>
      </c>
    </row>
    <row r="67" spans="4:4" x14ac:dyDescent="0.35">
      <c r="D67" s="4">
        <f>Tableau1[[#This Row],[VOLA MIDITRA]]-Tableau1[[#This Row],[VIDINY]]</f>
        <v>0</v>
      </c>
    </row>
    <row r="68" spans="4:4" x14ac:dyDescent="0.35">
      <c r="D68" s="4">
        <f>Tableau1[[#This Row],[VOLA MIDITRA]]-Tableau1[[#This Row],[VIDINY]]</f>
        <v>0</v>
      </c>
    </row>
    <row r="69" spans="4:4" x14ac:dyDescent="0.35">
      <c r="D69" s="4">
        <f>Tableau1[[#This Row],[VOLA MIDITRA]]-Tableau1[[#This Row],[VIDINY]]</f>
        <v>0</v>
      </c>
    </row>
    <row r="70" spans="4:4" x14ac:dyDescent="0.35">
      <c r="D70" s="4">
        <f>Tableau1[[#This Row],[VOLA MIDITRA]]-Tableau1[[#This Row],[VIDINY]]</f>
        <v>0</v>
      </c>
    </row>
    <row r="71" spans="4:4" x14ac:dyDescent="0.35">
      <c r="D71" s="4">
        <f>Tableau1[[#This Row],[VOLA MIDITRA]]-Tableau1[[#This Row],[VIDINY]]</f>
        <v>0</v>
      </c>
    </row>
    <row r="72" spans="4:4" x14ac:dyDescent="0.35">
      <c r="D72" s="4">
        <f>Tableau1[[#This Row],[VOLA MIDITRA]]-Tableau1[[#This Row],[VIDINY]]</f>
        <v>0</v>
      </c>
    </row>
    <row r="73" spans="4:4" x14ac:dyDescent="0.35">
      <c r="D73" s="4">
        <f>Tableau1[[#This Row],[VOLA MIDITRA]]-Tableau1[[#This Row],[VIDINY]]</f>
        <v>0</v>
      </c>
    </row>
    <row r="74" spans="4:4" x14ac:dyDescent="0.35">
      <c r="D74" s="4">
        <f>Tableau1[[#This Row],[VOLA MIDITRA]]-Tableau1[[#This Row],[VIDINY]]</f>
        <v>0</v>
      </c>
    </row>
    <row r="75" spans="4:4" x14ac:dyDescent="0.35">
      <c r="D75" s="4">
        <f>Tableau1[[#This Row],[VOLA MIDITRA]]-Tableau1[[#This Row],[VIDINY]]</f>
        <v>0</v>
      </c>
    </row>
    <row r="76" spans="4:4" x14ac:dyDescent="0.35">
      <c r="D76" s="4">
        <f>Tableau1[[#This Row],[VOLA MIDITRA]]-Tableau1[[#This Row],[VIDINY]]</f>
        <v>0</v>
      </c>
    </row>
    <row r="77" spans="4:4" x14ac:dyDescent="0.35">
      <c r="D77" s="4">
        <f>Tableau1[[#This Row],[VOLA MIDITRA]]-Tableau1[[#This Row],[VIDINY]]</f>
        <v>0</v>
      </c>
    </row>
    <row r="78" spans="4:4" x14ac:dyDescent="0.35">
      <c r="D78" s="4">
        <f>Tableau1[[#This Row],[VOLA MIDITRA]]-Tableau1[[#This Row],[VIDINY]]</f>
        <v>0</v>
      </c>
    </row>
    <row r="79" spans="4:4" x14ac:dyDescent="0.35">
      <c r="D79" s="4">
        <f>Tableau1[[#This Row],[VOLA MIDITRA]]-Tableau1[[#This Row],[VIDINY]]</f>
        <v>0</v>
      </c>
    </row>
    <row r="80" spans="4:4" x14ac:dyDescent="0.35">
      <c r="D80" s="4">
        <f>Tableau1[[#This Row],[VOLA MIDITRA]]-Tableau1[[#This Row],[VIDINY]]</f>
        <v>0</v>
      </c>
    </row>
    <row r="81" spans="4:4" x14ac:dyDescent="0.35">
      <c r="D81" s="4">
        <f>Tableau1[[#This Row],[VOLA MIDITRA]]-Tableau1[[#This Row],[VIDINY]]</f>
        <v>0</v>
      </c>
    </row>
    <row r="82" spans="4:4" x14ac:dyDescent="0.35">
      <c r="D82" s="4">
        <f>Tableau1[[#This Row],[VOLA MIDITRA]]-Tableau1[[#This Row],[VIDINY]]</f>
        <v>0</v>
      </c>
    </row>
    <row r="83" spans="4:4" x14ac:dyDescent="0.35">
      <c r="D83" s="4">
        <f>Tableau1[[#This Row],[VOLA MIDITRA]]-Tableau1[[#This Row],[VIDINY]]</f>
        <v>0</v>
      </c>
    </row>
    <row r="84" spans="4:4" x14ac:dyDescent="0.35">
      <c r="D84" s="4">
        <f>Tableau1[[#This Row],[VOLA MIDITRA]]-Tableau1[[#This Row],[VIDINY]]</f>
        <v>0</v>
      </c>
    </row>
    <row r="85" spans="4:4" x14ac:dyDescent="0.35">
      <c r="D85" s="4">
        <f>Tableau1[[#This Row],[VOLA MIDITRA]]-Tableau1[[#This Row],[VIDINY]]</f>
        <v>0</v>
      </c>
    </row>
    <row r="86" spans="4:4" x14ac:dyDescent="0.35">
      <c r="D86" s="4">
        <f>Tableau1[[#This Row],[VOLA MIDITRA]]-Tableau1[[#This Row],[VIDINY]]</f>
        <v>0</v>
      </c>
    </row>
    <row r="87" spans="4:4" x14ac:dyDescent="0.35">
      <c r="D87" s="4">
        <f>Tableau1[[#This Row],[VOLA MIDITRA]]-Tableau1[[#This Row],[VIDINY]]</f>
        <v>0</v>
      </c>
    </row>
    <row r="88" spans="4:4" x14ac:dyDescent="0.35">
      <c r="D88" s="4">
        <f>Tableau1[[#This Row],[VOLA MIDITRA]]-Tableau1[[#This Row],[VIDINY]]</f>
        <v>0</v>
      </c>
    </row>
    <row r="89" spans="4:4" x14ac:dyDescent="0.35">
      <c r="D89" s="4">
        <f>Tableau1[[#This Row],[VOLA MIDITRA]]-Tableau1[[#This Row],[VIDINY]]</f>
        <v>0</v>
      </c>
    </row>
    <row r="90" spans="4:4" x14ac:dyDescent="0.35">
      <c r="D90" s="4">
        <f>Tableau1[[#This Row],[VOLA MIDITRA]]-Tableau1[[#This Row],[VIDINY]]</f>
        <v>0</v>
      </c>
    </row>
    <row r="91" spans="4:4" x14ac:dyDescent="0.35">
      <c r="D91" s="4">
        <f>Tableau1[[#This Row],[VOLA MIDITRA]]-Tableau1[[#This Row],[VIDINY]]</f>
        <v>0</v>
      </c>
    </row>
    <row r="92" spans="4:4" x14ac:dyDescent="0.35">
      <c r="D92" s="4">
        <f>Tableau1[[#This Row],[VOLA MIDITRA]]-Tableau1[[#This Row],[VIDINY]]</f>
        <v>0</v>
      </c>
    </row>
    <row r="93" spans="4:4" x14ac:dyDescent="0.35">
      <c r="D93" s="4">
        <f>Tableau1[[#This Row],[VOLA MIDITRA]]-Tableau1[[#This Row],[VIDINY]]</f>
        <v>0</v>
      </c>
    </row>
    <row r="94" spans="4:4" x14ac:dyDescent="0.35">
      <c r="D94" s="4">
        <f>Tableau1[[#This Row],[VOLA MIDITRA]]-Tableau1[[#This Row],[VIDINY]]</f>
        <v>0</v>
      </c>
    </row>
    <row r="95" spans="4:4" x14ac:dyDescent="0.35">
      <c r="D95" s="4">
        <f>Tableau1[[#This Row],[VOLA MIDITRA]]-Tableau1[[#This Row],[VIDINY]]</f>
        <v>0</v>
      </c>
    </row>
    <row r="96" spans="4:4" x14ac:dyDescent="0.35">
      <c r="D96" s="4">
        <f>Tableau1[[#This Row],[VOLA MIDITRA]]-Tableau1[[#This Row],[VIDINY]]</f>
        <v>0</v>
      </c>
    </row>
    <row r="97" spans="4:4" x14ac:dyDescent="0.35">
      <c r="D97" s="4">
        <f>Tableau1[[#This Row],[VOLA MIDITRA]]-Tableau1[[#This Row],[VIDINY]]</f>
        <v>0</v>
      </c>
    </row>
    <row r="98" spans="4:4" x14ac:dyDescent="0.35">
      <c r="D98" s="4">
        <f>Tableau1[[#This Row],[VOLA MIDITRA]]-Tableau1[[#This Row],[VIDINY]]</f>
        <v>0</v>
      </c>
    </row>
    <row r="99" spans="4:4" x14ac:dyDescent="0.35">
      <c r="D99" s="4">
        <f>Tableau1[[#This Row],[VOLA MIDITRA]]-Tableau1[[#This Row],[VIDINY]]</f>
        <v>0</v>
      </c>
    </row>
    <row r="100" spans="4:4" x14ac:dyDescent="0.35">
      <c r="D100" s="4">
        <f>Tableau1[[#This Row],[VOLA MIDITRA]]-Tableau1[[#This Row],[VIDINY]]</f>
        <v>0</v>
      </c>
    </row>
    <row r="101" spans="4:4" x14ac:dyDescent="0.35">
      <c r="D101" s="4">
        <f>Tableau1[[#This Row],[VOLA MIDITRA]]-Tableau1[[#This Row],[VIDINY]]</f>
        <v>0</v>
      </c>
    </row>
    <row r="102" spans="4:4" x14ac:dyDescent="0.35">
      <c r="D102" s="4">
        <f>Tableau1[[#This Row],[VOLA MIDITRA]]-Tableau1[[#This Row],[VIDINY]]</f>
        <v>0</v>
      </c>
    </row>
    <row r="103" spans="4:4" x14ac:dyDescent="0.35">
      <c r="D103" s="4">
        <f>Tableau1[[#This Row],[VOLA MIDITRA]]-Tableau1[[#This Row],[VIDINY]]</f>
        <v>0</v>
      </c>
    </row>
    <row r="104" spans="4:4" x14ac:dyDescent="0.35">
      <c r="D104" s="4">
        <f>Tableau1[[#This Row],[VOLA MIDITRA]]-Tableau1[[#This Row],[VIDINY]]</f>
        <v>0</v>
      </c>
    </row>
    <row r="105" spans="4:4" x14ac:dyDescent="0.35">
      <c r="D105" s="4">
        <f>Tableau1[[#This Row],[VOLA MIDITRA]]-Tableau1[[#This Row],[VIDINY]]</f>
        <v>0</v>
      </c>
    </row>
    <row r="106" spans="4:4" x14ac:dyDescent="0.35">
      <c r="D106" s="4">
        <f>Tableau1[[#This Row],[VOLA MIDITRA]]-Tableau1[[#This Row],[VIDINY]]</f>
        <v>0</v>
      </c>
    </row>
    <row r="107" spans="4:4" x14ac:dyDescent="0.35">
      <c r="D107" s="4">
        <f>Tableau1[[#This Row],[VOLA MIDITRA]]-Tableau1[[#This Row],[VIDINY]]</f>
        <v>0</v>
      </c>
    </row>
    <row r="108" spans="4:4" x14ac:dyDescent="0.35">
      <c r="D108" s="4">
        <f>Tableau1[[#This Row],[VOLA MIDITRA]]-Tableau1[[#This Row],[VIDINY]]</f>
        <v>0</v>
      </c>
    </row>
    <row r="109" spans="4:4" x14ac:dyDescent="0.35">
      <c r="D109" s="4">
        <f>Tableau1[[#This Row],[VOLA MIDITRA]]-Tableau1[[#This Row],[VIDINY]]</f>
        <v>0</v>
      </c>
    </row>
    <row r="110" spans="4:4" x14ac:dyDescent="0.35">
      <c r="D110" s="4">
        <f>Tableau1[[#This Row],[VOLA MIDITRA]]-Tableau1[[#This Row],[VIDINY]]</f>
        <v>0</v>
      </c>
    </row>
    <row r="111" spans="4:4" x14ac:dyDescent="0.35">
      <c r="D111" s="4">
        <f>Tableau1[[#This Row],[VOLA MIDITRA]]-Tableau1[[#This Row],[VIDINY]]</f>
        <v>0</v>
      </c>
    </row>
    <row r="112" spans="4:4" x14ac:dyDescent="0.35">
      <c r="D112" s="4">
        <f>Tableau1[[#This Row],[VOLA MIDITRA]]-Tableau1[[#This Row],[VIDINY]]</f>
        <v>0</v>
      </c>
    </row>
    <row r="113" spans="4:4" x14ac:dyDescent="0.35">
      <c r="D113" s="4">
        <f>Tableau1[[#This Row],[VOLA MIDITRA]]-Tableau1[[#This Row],[VIDINY]]</f>
        <v>0</v>
      </c>
    </row>
    <row r="114" spans="4:4" x14ac:dyDescent="0.35">
      <c r="D114" s="4">
        <f>Tableau1[[#This Row],[VOLA MIDITRA]]-Tableau1[[#This Row],[VIDINY]]</f>
        <v>0</v>
      </c>
    </row>
    <row r="115" spans="4:4" x14ac:dyDescent="0.35">
      <c r="D115" s="4">
        <f>Tableau1[[#This Row],[VOLA MIDITRA]]-Tableau1[[#This Row],[VIDINY]]</f>
        <v>0</v>
      </c>
    </row>
    <row r="116" spans="4:4" x14ac:dyDescent="0.35">
      <c r="D116" s="4">
        <f>Tableau1[[#This Row],[VOLA MIDITRA]]-Tableau1[[#This Row],[VIDINY]]</f>
        <v>0</v>
      </c>
    </row>
    <row r="117" spans="4:4" x14ac:dyDescent="0.35">
      <c r="D117" s="4">
        <f>Tableau1[[#This Row],[VOLA MIDITRA]]-Tableau1[[#This Row],[VIDINY]]</f>
        <v>0</v>
      </c>
    </row>
    <row r="118" spans="4:4" x14ac:dyDescent="0.35">
      <c r="D118" s="4">
        <f>Tableau1[[#This Row],[VOLA MIDITRA]]-Tableau1[[#This Row],[VIDINY]]</f>
        <v>0</v>
      </c>
    </row>
    <row r="119" spans="4:4" x14ac:dyDescent="0.35">
      <c r="D119" s="4">
        <f>Tableau1[[#This Row],[VOLA MIDITRA]]-Tableau1[[#This Row],[VIDINY]]</f>
        <v>0</v>
      </c>
    </row>
    <row r="120" spans="4:4" x14ac:dyDescent="0.35">
      <c r="D120" s="4">
        <f>Tableau1[[#This Row],[VOLA MIDITRA]]-Tableau1[[#This Row],[VIDINY]]</f>
        <v>0</v>
      </c>
    </row>
    <row r="121" spans="4:4" x14ac:dyDescent="0.35">
      <c r="D121" s="4">
        <f>Tableau1[[#This Row],[VOLA MIDITRA]]-Tableau1[[#This Row],[VIDINY]]</f>
        <v>0</v>
      </c>
    </row>
  </sheetData>
  <dataValidations count="1">
    <dataValidation type="list" allowBlank="1" showInputMessage="1" showErrorMessage="1" sqref="B2:B121" xr:uid="{9661837E-4274-4E90-B6EB-8BDB5DAF2473}">
      <formula1>"rô, sira, savony, menaka, vary, charbon, fitaovam-pinanarana, frais, sakafo hafa, fitafy"</formula1>
    </dataValidation>
  </dataValidations>
  <pageMargins left="0.7" right="0.7" top="0.75" bottom="0.75" header="0.3" footer="0.3"/>
  <pageSetup paperSize="9" orientation="portrait" horizontalDpi="4294967293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ZICO</dc:creator>
  <cp:lastModifiedBy>ZICO</cp:lastModifiedBy>
  <dcterms:created xsi:type="dcterms:W3CDTF">2015-06-05T18:19:34Z</dcterms:created>
  <dcterms:modified xsi:type="dcterms:W3CDTF">2025-11-02T14:43:23Z</dcterms:modified>
</cp:coreProperties>
</file>