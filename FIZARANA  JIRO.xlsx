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ZICO\Desktop\"/>
    </mc:Choice>
  </mc:AlternateContent>
  <xr:revisionPtr revIDLastSave="0" documentId="13_ncr:1_{5A2C4EDD-A3C4-4431-B2E9-8618B1849A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" i="1" l="1"/>
  <c r="I12" i="1"/>
  <c r="J12" i="1" s="1"/>
  <c r="AC9" i="1"/>
  <c r="AD9" i="1" s="1"/>
  <c r="X9" i="1"/>
  <c r="Y9" i="1" s="1"/>
  <c r="S9" i="1"/>
  <c r="T9" i="1" s="1"/>
  <c r="J9" i="1"/>
  <c r="N9" i="1"/>
  <c r="O9" i="1" s="1"/>
  <c r="E9" i="1"/>
  <c r="I9" i="1"/>
  <c r="C10" i="3"/>
  <c r="B10" i="3"/>
  <c r="C9" i="3"/>
  <c r="C8" i="3"/>
  <c r="C7" i="3"/>
  <c r="C6" i="3"/>
  <c r="C5" i="3"/>
  <c r="C4" i="3"/>
  <c r="C3" i="3"/>
  <c r="D2" i="3"/>
  <c r="C2" i="3"/>
  <c r="G16" i="2"/>
  <c r="F16" i="2"/>
  <c r="E16" i="2"/>
  <c r="D16" i="2"/>
  <c r="C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AB29" i="1"/>
  <c r="AC29" i="1" s="1"/>
  <c r="AD29" i="1" s="1"/>
  <c r="AE29" i="1" s="1"/>
  <c r="W29" i="1"/>
  <c r="X29" i="1" s="1"/>
  <c r="Y29" i="1" s="1"/>
  <c r="Z29" i="1" s="1"/>
  <c r="R29" i="1"/>
  <c r="S29" i="1" s="1"/>
  <c r="T29" i="1" s="1"/>
  <c r="U29" i="1" s="1"/>
  <c r="M29" i="1"/>
  <c r="N29" i="1" s="1"/>
  <c r="O29" i="1" s="1"/>
  <c r="P29" i="1" s="1"/>
  <c r="H29" i="1"/>
  <c r="I29" i="1" s="1"/>
  <c r="J29" i="1" s="1"/>
  <c r="K29" i="1" s="1"/>
  <c r="C29" i="1"/>
  <c r="D29" i="1" s="1"/>
  <c r="E29" i="1" s="1"/>
  <c r="F29" i="1" s="1"/>
  <c r="AB27" i="1"/>
  <c r="AC27" i="1" s="1"/>
  <c r="AD27" i="1" s="1"/>
  <c r="AE27" i="1" s="1"/>
  <c r="W27" i="1"/>
  <c r="X27" i="1" s="1"/>
  <c r="Y27" i="1" s="1"/>
  <c r="Z27" i="1" s="1"/>
  <c r="R27" i="1"/>
  <c r="S27" i="1" s="1"/>
  <c r="T27" i="1" s="1"/>
  <c r="U27" i="1" s="1"/>
  <c r="M27" i="1"/>
  <c r="N27" i="1" s="1"/>
  <c r="O27" i="1" s="1"/>
  <c r="P27" i="1" s="1"/>
  <c r="H27" i="1"/>
  <c r="I27" i="1" s="1"/>
  <c r="J27" i="1" s="1"/>
  <c r="K27" i="1" s="1"/>
  <c r="C27" i="1"/>
  <c r="D27" i="1" s="1"/>
  <c r="E27" i="1" s="1"/>
  <c r="F27" i="1" s="1"/>
  <c r="AB14" i="1"/>
  <c r="W14" i="1"/>
  <c r="R14" i="1"/>
  <c r="M14" i="1"/>
  <c r="H14" i="1"/>
  <c r="D14" i="1"/>
  <c r="C14" i="1"/>
  <c r="AC13" i="1"/>
  <c r="AD13" i="1" s="1"/>
  <c r="AB32" i="1" s="1"/>
  <c r="AC32" i="1" s="1"/>
  <c r="AD32" i="1" s="1"/>
  <c r="X13" i="1"/>
  <c r="Y13" i="1" s="1"/>
  <c r="W32" i="1" s="1"/>
  <c r="X32" i="1" s="1"/>
  <c r="Y32" i="1" s="1"/>
  <c r="S13" i="1"/>
  <c r="T13" i="1" s="1"/>
  <c r="N13" i="1"/>
  <c r="O13" i="1" s="1"/>
  <c r="M32" i="1" s="1"/>
  <c r="N32" i="1" s="1"/>
  <c r="O32" i="1" s="1"/>
  <c r="I13" i="1"/>
  <c r="J13" i="1" s="1"/>
  <c r="H32" i="1" s="1"/>
  <c r="I32" i="1" s="1"/>
  <c r="J32" i="1" s="1"/>
  <c r="E13" i="1"/>
  <c r="C32" i="1" s="1"/>
  <c r="D32" i="1" s="1"/>
  <c r="E32" i="1" s="1"/>
  <c r="AC11" i="1"/>
  <c r="AD11" i="1" s="1"/>
  <c r="AB31" i="1" s="1"/>
  <c r="AC31" i="1" s="1"/>
  <c r="AD31" i="1" s="1"/>
  <c r="X11" i="1"/>
  <c r="Y11" i="1" s="1"/>
  <c r="W31" i="1" s="1"/>
  <c r="X31" i="1" s="1"/>
  <c r="Y31" i="1" s="1"/>
  <c r="S11" i="1"/>
  <c r="T11" i="1" s="1"/>
  <c r="R31" i="1" s="1"/>
  <c r="S31" i="1" s="1"/>
  <c r="T31" i="1" s="1"/>
  <c r="N11" i="1"/>
  <c r="O11" i="1" s="1"/>
  <c r="M31" i="1" s="1"/>
  <c r="N31" i="1" s="1"/>
  <c r="O31" i="1" s="1"/>
  <c r="I11" i="1"/>
  <c r="J11" i="1" s="1"/>
  <c r="H31" i="1" s="1"/>
  <c r="I31" i="1" s="1"/>
  <c r="J31" i="1" s="1"/>
  <c r="E11" i="1"/>
  <c r="C31" i="1" s="1"/>
  <c r="D31" i="1" s="1"/>
  <c r="E31" i="1" s="1"/>
  <c r="AC10" i="1"/>
  <c r="AD10" i="1" s="1"/>
  <c r="X10" i="1"/>
  <c r="Y10" i="1" s="1"/>
  <c r="W30" i="1" s="1"/>
  <c r="X30" i="1" s="1"/>
  <c r="Y30" i="1" s="1"/>
  <c r="S10" i="1"/>
  <c r="T10" i="1" s="1"/>
  <c r="R30" i="1" s="1"/>
  <c r="S30" i="1" s="1"/>
  <c r="T30" i="1" s="1"/>
  <c r="N10" i="1"/>
  <c r="O10" i="1" s="1"/>
  <c r="M30" i="1" s="1"/>
  <c r="N30" i="1" s="1"/>
  <c r="O30" i="1" s="1"/>
  <c r="I10" i="1"/>
  <c r="J10" i="1" s="1"/>
  <c r="E10" i="1"/>
  <c r="C30" i="1" s="1"/>
  <c r="D30" i="1" s="1"/>
  <c r="E30" i="1" s="1"/>
  <c r="C28" i="1"/>
  <c r="D28" i="1" s="1"/>
  <c r="E28" i="1" s="1"/>
  <c r="W26" i="1"/>
  <c r="X26" i="1" s="1"/>
  <c r="Y26" i="1" s="1"/>
  <c r="R26" i="1"/>
  <c r="S26" i="1" s="1"/>
  <c r="T26" i="1" s="1"/>
  <c r="C26" i="1"/>
  <c r="D26" i="1" s="1"/>
  <c r="E26" i="1" s="1"/>
  <c r="AC8" i="1"/>
  <c r="AD8" i="1" s="1"/>
  <c r="AB25" i="1" s="1"/>
  <c r="AC25" i="1" s="1"/>
  <c r="AD25" i="1" s="1"/>
  <c r="X8" i="1"/>
  <c r="Y8" i="1" s="1"/>
  <c r="W25" i="1" s="1"/>
  <c r="X25" i="1" s="1"/>
  <c r="Y25" i="1" s="1"/>
  <c r="S8" i="1"/>
  <c r="T8" i="1" s="1"/>
  <c r="R25" i="1" s="1"/>
  <c r="S25" i="1" s="1"/>
  <c r="T25" i="1" s="1"/>
  <c r="N8" i="1"/>
  <c r="O8" i="1" s="1"/>
  <c r="M25" i="1" s="1"/>
  <c r="N25" i="1" s="1"/>
  <c r="O25" i="1" s="1"/>
  <c r="I8" i="1"/>
  <c r="J8" i="1" s="1"/>
  <c r="H25" i="1" s="1"/>
  <c r="I25" i="1" s="1"/>
  <c r="J25" i="1" s="1"/>
  <c r="E8" i="1"/>
  <c r="C25" i="1" s="1"/>
  <c r="D25" i="1" s="1"/>
  <c r="E25" i="1" s="1"/>
  <c r="AC7" i="1"/>
  <c r="AD7" i="1" s="1"/>
  <c r="AB24" i="1" s="1"/>
  <c r="AC24" i="1" s="1"/>
  <c r="AD24" i="1" s="1"/>
  <c r="X7" i="1"/>
  <c r="Y7" i="1" s="1"/>
  <c r="W24" i="1" s="1"/>
  <c r="X24" i="1" s="1"/>
  <c r="Y24" i="1" s="1"/>
  <c r="S7" i="1"/>
  <c r="T7" i="1" s="1"/>
  <c r="N7" i="1"/>
  <c r="O7" i="1" s="1"/>
  <c r="M24" i="1" s="1"/>
  <c r="N24" i="1" s="1"/>
  <c r="O24" i="1" s="1"/>
  <c r="I7" i="1"/>
  <c r="J7" i="1" s="1"/>
  <c r="H24" i="1" s="1"/>
  <c r="I24" i="1" s="1"/>
  <c r="J24" i="1" s="1"/>
  <c r="E7" i="1"/>
  <c r="C24" i="1" s="1"/>
  <c r="D24" i="1" s="1"/>
  <c r="E24" i="1" s="1"/>
  <c r="AC6" i="1"/>
  <c r="X6" i="1"/>
  <c r="Y6" i="1" s="1"/>
  <c r="S6" i="1"/>
  <c r="T6" i="1" s="1"/>
  <c r="N6" i="1"/>
  <c r="I6" i="1"/>
  <c r="E6" i="1"/>
  <c r="C23" i="1" s="1"/>
  <c r="D23" i="1" s="1"/>
  <c r="I14" i="1" l="1"/>
  <c r="N14" i="1"/>
  <c r="AC14" i="1"/>
  <c r="S14" i="1"/>
  <c r="W23" i="1"/>
  <c r="X23" i="1" s="1"/>
  <c r="Y14" i="1"/>
  <c r="M28" i="1"/>
  <c r="N28" i="1" s="1"/>
  <c r="O28" i="1" s="1"/>
  <c r="M26" i="1"/>
  <c r="N26" i="1" s="1"/>
  <c r="O26" i="1" s="1"/>
  <c r="R23" i="1"/>
  <c r="S23" i="1" s="1"/>
  <c r="T14" i="1"/>
  <c r="H26" i="1"/>
  <c r="I26" i="1" s="1"/>
  <c r="J26" i="1" s="1"/>
  <c r="O6" i="1"/>
  <c r="AB26" i="1"/>
  <c r="AC26" i="1" s="1"/>
  <c r="AD26" i="1" s="1"/>
  <c r="H30" i="1"/>
  <c r="I30" i="1" s="1"/>
  <c r="J30" i="1" s="1"/>
  <c r="AB30" i="1"/>
  <c r="AC30" i="1" s="1"/>
  <c r="AD30" i="1" s="1"/>
  <c r="R32" i="1"/>
  <c r="S32" i="1" s="1"/>
  <c r="T32" i="1" s="1"/>
  <c r="X14" i="1"/>
  <c r="W28" i="1"/>
  <c r="X28" i="1" s="1"/>
  <c r="Y28" i="1" s="1"/>
  <c r="J6" i="1"/>
  <c r="AD6" i="1"/>
  <c r="R24" i="1"/>
  <c r="S24" i="1" s="1"/>
  <c r="T24" i="1" s="1"/>
  <c r="H28" i="1"/>
  <c r="I28" i="1" s="1"/>
  <c r="J28" i="1" s="1"/>
  <c r="R28" i="1"/>
  <c r="S28" i="1" s="1"/>
  <c r="T28" i="1" s="1"/>
  <c r="AB28" i="1"/>
  <c r="AC28" i="1" s="1"/>
  <c r="AD28" i="1" s="1"/>
  <c r="D33" i="1"/>
  <c r="E23" i="1"/>
  <c r="E33" i="1" s="1"/>
  <c r="E14" i="1"/>
  <c r="F9" i="1" s="1"/>
  <c r="G9" i="1" s="1"/>
  <c r="U7" i="1" l="1"/>
  <c r="V7" i="1" s="1"/>
  <c r="U24" i="1" s="1"/>
  <c r="U9" i="1"/>
  <c r="V9" i="1" s="1"/>
  <c r="Z6" i="1"/>
  <c r="AA6" i="1" s="1"/>
  <c r="Z9" i="1"/>
  <c r="AA9" i="1" s="1"/>
  <c r="U28" i="1"/>
  <c r="U11" i="1"/>
  <c r="V11" i="1" s="1"/>
  <c r="U31" i="1" s="1"/>
  <c r="U13" i="1"/>
  <c r="V13" i="1" s="1"/>
  <c r="U32" i="1" s="1"/>
  <c r="Z8" i="1"/>
  <c r="AA8" i="1" s="1"/>
  <c r="Z25" i="1" s="1"/>
  <c r="Z7" i="1"/>
  <c r="AA7" i="1" s="1"/>
  <c r="Z24" i="1" s="1"/>
  <c r="Z10" i="1"/>
  <c r="Z30" i="1" s="1"/>
  <c r="Z28" i="1"/>
  <c r="U26" i="1"/>
  <c r="U8" i="1"/>
  <c r="V8" i="1" s="1"/>
  <c r="U25" i="1" s="1"/>
  <c r="U6" i="1"/>
  <c r="V6" i="1" s="1"/>
  <c r="J14" i="1"/>
  <c r="H23" i="1"/>
  <c r="I23" i="1" s="1"/>
  <c r="R35" i="1"/>
  <c r="U10" i="1"/>
  <c r="V10" i="1" s="1"/>
  <c r="U30" i="1" s="1"/>
  <c r="Z11" i="1"/>
  <c r="AA11" i="1" s="1"/>
  <c r="Z31" i="1" s="1"/>
  <c r="W35" i="1"/>
  <c r="Z13" i="1"/>
  <c r="AA13" i="1" s="1"/>
  <c r="Z32" i="1" s="1"/>
  <c r="Z26" i="1"/>
  <c r="AD14" i="1"/>
  <c r="AB23" i="1"/>
  <c r="AC23" i="1" s="1"/>
  <c r="M23" i="1"/>
  <c r="N23" i="1" s="1"/>
  <c r="O14" i="1"/>
  <c r="S33" i="1"/>
  <c r="T23" i="1"/>
  <c r="T33" i="1" s="1"/>
  <c r="X33" i="1"/>
  <c r="Y23" i="1"/>
  <c r="Y33" i="1" s="1"/>
  <c r="F11" i="1"/>
  <c r="F8" i="1"/>
  <c r="F13" i="1"/>
  <c r="C35" i="1"/>
  <c r="F10" i="1"/>
  <c r="F7" i="1"/>
  <c r="F6" i="1"/>
  <c r="K11" i="1" l="1"/>
  <c r="K12" i="1"/>
  <c r="L12" i="1" s="1"/>
  <c r="AE8" i="1"/>
  <c r="AF8" i="1" s="1"/>
  <c r="AE9" i="1"/>
  <c r="AF9" i="1" s="1"/>
  <c r="K6" i="1"/>
  <c r="L6" i="1" s="1"/>
  <c r="K9" i="1"/>
  <c r="L9" i="1" s="1"/>
  <c r="P6" i="1"/>
  <c r="Q6" i="1" s="1"/>
  <c r="P9" i="1"/>
  <c r="Q9" i="1" s="1"/>
  <c r="U14" i="1"/>
  <c r="AA14" i="1"/>
  <c r="Z23" i="1"/>
  <c r="Z33" i="1" s="1"/>
  <c r="Z14" i="1"/>
  <c r="I33" i="1"/>
  <c r="J23" i="1"/>
  <c r="J33" i="1" s="1"/>
  <c r="N33" i="1"/>
  <c r="O23" i="1"/>
  <c r="O33" i="1" s="1"/>
  <c r="AE11" i="1"/>
  <c r="AF11" i="1" s="1"/>
  <c r="AE31" i="1" s="1"/>
  <c r="AE13" i="1"/>
  <c r="AF13" i="1" s="1"/>
  <c r="AE32" i="1" s="1"/>
  <c r="AB35" i="1"/>
  <c r="AE7" i="1"/>
  <c r="AF7" i="1" s="1"/>
  <c r="AE24" i="1" s="1"/>
  <c r="AE28" i="1"/>
  <c r="AE10" i="1"/>
  <c r="AF10" i="1" s="1"/>
  <c r="AE30" i="1" s="1"/>
  <c r="AE26" i="1"/>
  <c r="AE25" i="1"/>
  <c r="AE6" i="1"/>
  <c r="M35" i="1"/>
  <c r="P7" i="1"/>
  <c r="Q7" i="1" s="1"/>
  <c r="P24" i="1" s="1"/>
  <c r="P8" i="1"/>
  <c r="Q8" i="1" s="1"/>
  <c r="P25" i="1" s="1"/>
  <c r="P28" i="1"/>
  <c r="P11" i="1"/>
  <c r="Q11" i="1" s="1"/>
  <c r="P31" i="1" s="1"/>
  <c r="P13" i="1"/>
  <c r="Q13" i="1" s="1"/>
  <c r="P32" i="1" s="1"/>
  <c r="P10" i="1"/>
  <c r="Q10" i="1" s="1"/>
  <c r="P30" i="1" s="1"/>
  <c r="P26" i="1"/>
  <c r="AC33" i="1"/>
  <c r="AD23" i="1"/>
  <c r="AD33" i="1" s="1"/>
  <c r="V14" i="1"/>
  <c r="U23" i="1"/>
  <c r="U33" i="1" s="1"/>
  <c r="H35" i="1"/>
  <c r="K13" i="1"/>
  <c r="L13" i="1" s="1"/>
  <c r="K32" i="1" s="1"/>
  <c r="K10" i="1"/>
  <c r="L10" i="1" s="1"/>
  <c r="K30" i="1" s="1"/>
  <c r="K28" i="1"/>
  <c r="K26" i="1"/>
  <c r="K7" i="1"/>
  <c r="L7" i="1" s="1"/>
  <c r="K24" i="1" s="1"/>
  <c r="K8" i="1"/>
  <c r="L8" i="1" s="1"/>
  <c r="K25" i="1" s="1"/>
  <c r="L11" i="1"/>
  <c r="K31" i="1" s="1"/>
  <c r="F28" i="1"/>
  <c r="G7" i="1"/>
  <c r="F24" i="1" s="1"/>
  <c r="G10" i="1"/>
  <c r="F30" i="1" s="1"/>
  <c r="F26" i="1"/>
  <c r="F14" i="1"/>
  <c r="G6" i="1"/>
  <c r="G11" i="1"/>
  <c r="F31" i="1" s="1"/>
  <c r="G13" i="1"/>
  <c r="F32" i="1" s="1"/>
  <c r="G8" i="1"/>
  <c r="F25" i="1" s="1"/>
  <c r="C42" i="1" l="1"/>
  <c r="D42" i="1" s="1"/>
  <c r="E42" i="1" s="1"/>
  <c r="C41" i="1"/>
  <c r="D41" i="1" s="1"/>
  <c r="E41" i="1" s="1"/>
  <c r="C45" i="1"/>
  <c r="D45" i="1" s="1"/>
  <c r="E45" i="1" s="1"/>
  <c r="C46" i="1"/>
  <c r="D46" i="1" s="1"/>
  <c r="E46" i="1" s="1"/>
  <c r="C40" i="1"/>
  <c r="D40" i="1" s="1"/>
  <c r="E40" i="1" s="1"/>
  <c r="AE14" i="1"/>
  <c r="AF6" i="1"/>
  <c r="K23" i="1"/>
  <c r="K33" i="1" s="1"/>
  <c r="L14" i="1"/>
  <c r="C39" i="1"/>
  <c r="D39" i="1" s="1"/>
  <c r="P14" i="1"/>
  <c r="C44" i="1"/>
  <c r="D44" i="1" s="1"/>
  <c r="E44" i="1" s="1"/>
  <c r="C43" i="1"/>
  <c r="D43" i="1" s="1"/>
  <c r="E43" i="1" s="1"/>
  <c r="Q14" i="1"/>
  <c r="P23" i="1"/>
  <c r="P33" i="1" s="1"/>
  <c r="K14" i="1"/>
  <c r="F23" i="1"/>
  <c r="F33" i="1" s="1"/>
  <c r="G14" i="1"/>
  <c r="D47" i="1" l="1"/>
  <c r="E47" i="1" s="1"/>
  <c r="AE23" i="1"/>
  <c r="AE33" i="1" s="1"/>
  <c r="AF14" i="1"/>
</calcChain>
</file>

<file path=xl/sharedStrings.xml><?xml version="1.0" encoding="utf-8"?>
<sst xmlns="http://schemas.openxmlformats.org/spreadsheetml/2006/main" count="126" uniqueCount="48">
  <si>
    <t>MOIS</t>
  </si>
  <si>
    <t>FEVRIER</t>
  </si>
  <si>
    <t>MARS</t>
  </si>
  <si>
    <t>AVRIL</t>
  </si>
  <si>
    <t>MAI</t>
  </si>
  <si>
    <t>JUIN</t>
  </si>
  <si>
    <t>JUILLET</t>
  </si>
  <si>
    <t>ANARANA</t>
  </si>
  <si>
    <t>NOUVEAU RELEVE</t>
  </si>
  <si>
    <t>DERNIER RELEVE</t>
  </si>
  <si>
    <t>CONSOMMATION</t>
  </si>
  <si>
    <t>POURCENTAGE</t>
  </si>
  <si>
    <t>PRIX</t>
  </si>
  <si>
    <t>JUSTINE</t>
  </si>
  <si>
    <t>ZICO</t>
  </si>
  <si>
    <t>PAPAN'I SAIDO</t>
  </si>
  <si>
    <t>PAPAN'I MICHELLA</t>
  </si>
  <si>
    <t>PATHOU</t>
  </si>
  <si>
    <t>MAMAN'I FINARITRA</t>
  </si>
  <si>
    <t>PAPAN'I ANAIS</t>
  </si>
  <si>
    <t>TOTAL</t>
  </si>
  <si>
    <t>HOFANJIRO REHETRA</t>
  </si>
  <si>
    <t xml:space="preserve"> </t>
  </si>
  <si>
    <t>DIFFERENCE</t>
  </si>
  <si>
    <t>MAMAN'I LUCIANA</t>
  </si>
  <si>
    <t>JEAN CLAUDE</t>
  </si>
  <si>
    <t>DOMINIQUE</t>
  </si>
  <si>
    <t>TOTAL SUR LE COMPTEUR Ple</t>
  </si>
  <si>
    <t xml:space="preserve">ERREUR EN POURCENTAGE </t>
  </si>
  <si>
    <t xml:space="preserve">justine </t>
  </si>
  <si>
    <t>zico</t>
  </si>
  <si>
    <t>saido</t>
  </si>
  <si>
    <t>michela</t>
  </si>
  <si>
    <t>pathou</t>
  </si>
  <si>
    <t>mika</t>
  </si>
  <si>
    <t>rasta</t>
  </si>
  <si>
    <t>anais</t>
  </si>
  <si>
    <t>moyenne</t>
  </si>
  <si>
    <t>prix</t>
  </si>
  <si>
    <t>hofanjiro</t>
  </si>
  <si>
    <t>justine</t>
  </si>
  <si>
    <t>papan'i saido</t>
  </si>
  <si>
    <t>papan'i michela</t>
  </si>
  <si>
    <t>papan'i anais</t>
  </si>
  <si>
    <t>CLARISSA</t>
  </si>
  <si>
    <t>LALAINA</t>
  </si>
  <si>
    <t>DAVIDA</t>
  </si>
  <si>
    <t>ROLLAND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</si>
</sst>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NumberFormat="1" applyBorder="1"/>
    <xf numFmtId="0" fontId="0" fillId="3" borderId="2" xfId="0" applyFill="1" applyBorder="1"/>
    <xf numFmtId="0" fontId="0" fillId="4" borderId="2" xfId="0" applyFill="1" applyBorder="1"/>
    <xf numFmtId="0" fontId="0" fillId="5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8" xfId="0" applyFill="1" applyBorder="1"/>
    <xf numFmtId="0" fontId="0" fillId="6" borderId="5" xfId="0" applyFill="1" applyBorder="1"/>
    <xf numFmtId="0" fontId="0" fillId="3" borderId="9" xfId="0" applyFill="1" applyBorder="1"/>
    <xf numFmtId="0" fontId="0" fillId="6" borderId="8" xfId="0" applyFill="1" applyBorder="1"/>
    <xf numFmtId="0" fontId="0" fillId="0" borderId="11" xfId="0" applyBorder="1"/>
    <xf numFmtId="0" fontId="0" fillId="0" borderId="4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"/>
  <sheetViews>
    <sheetView tabSelected="1" topLeftCell="F5" zoomScale="120" zoomScaleNormal="118" workbookViewId="0">
      <selection activeCell="J18" sqref="J18"/>
    </sheetView>
  </sheetViews>
  <sheetFormatPr baseColWidth="10" defaultColWidth="9.1796875" defaultRowHeight="14.5"/>
  <cols>
    <col min="1" max="1" width="9.1796875" style="4"/>
    <col min="2" max="2" width="27.54296875" style="4" customWidth="1"/>
    <col min="3" max="4" width="18.1796875" style="4" customWidth="1"/>
    <col min="5" max="5" width="18.453125" style="4" customWidth="1"/>
    <col min="6" max="10" width="18.1796875" style="4" customWidth="1"/>
    <col min="11" max="11" width="14.81640625" style="4" customWidth="1"/>
    <col min="12" max="13" width="18.453125" style="4" customWidth="1"/>
    <col min="14" max="14" width="18.1796875" style="4" customWidth="1"/>
    <col min="15" max="15" width="18.453125" style="4" customWidth="1"/>
    <col min="16" max="16" width="18.1796875" style="4" customWidth="1"/>
    <col min="17" max="17" width="18.453125" style="4" customWidth="1"/>
    <col min="18" max="20" width="18.1796875" style="4" customWidth="1"/>
    <col min="21" max="21" width="18" style="4" customWidth="1"/>
    <col min="22" max="23" width="18.453125" style="4" customWidth="1"/>
    <col min="24" max="24" width="18.1796875" style="4" customWidth="1"/>
    <col min="25" max="25" width="18" style="4" customWidth="1"/>
    <col min="26" max="26" width="18.453125" style="4" customWidth="1"/>
    <col min="27" max="29" width="18.1796875" style="4" customWidth="1"/>
    <col min="30" max="32" width="18.453125" style="4" customWidth="1"/>
    <col min="33" max="16384" width="9.1796875" style="4"/>
  </cols>
  <sheetData>
    <row r="1" spans="1: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20"/>
    </row>
    <row r="2" spans="1: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20"/>
    </row>
    <row r="3" spans="1:35">
      <c r="A3" s="8"/>
      <c r="B3" s="21" t="s">
        <v>0</v>
      </c>
      <c r="C3" s="32" t="s">
        <v>1</v>
      </c>
      <c r="D3" s="32"/>
      <c r="E3" s="32"/>
      <c r="F3" s="32"/>
      <c r="G3" s="32"/>
      <c r="H3" s="32" t="s">
        <v>2</v>
      </c>
      <c r="I3" s="32"/>
      <c r="J3" s="32"/>
      <c r="K3" s="32"/>
      <c r="L3" s="32"/>
      <c r="M3" s="32" t="s">
        <v>3</v>
      </c>
      <c r="N3" s="32"/>
      <c r="O3" s="32"/>
      <c r="P3" s="32"/>
      <c r="Q3" s="32"/>
      <c r="R3" s="32" t="s">
        <v>4</v>
      </c>
      <c r="S3" s="32"/>
      <c r="T3" s="32"/>
      <c r="U3" s="32"/>
      <c r="V3" s="32"/>
      <c r="W3" s="32" t="s">
        <v>5</v>
      </c>
      <c r="X3" s="32"/>
      <c r="Y3" s="32"/>
      <c r="Z3" s="32"/>
      <c r="AA3" s="32"/>
      <c r="AB3" s="32" t="s">
        <v>6</v>
      </c>
      <c r="AC3" s="32"/>
      <c r="AD3" s="32"/>
      <c r="AE3" s="32"/>
      <c r="AF3" s="34"/>
      <c r="AG3" s="8"/>
      <c r="AH3" s="8"/>
      <c r="AI3" s="20"/>
    </row>
    <row r="4" spans="1:35">
      <c r="A4" s="8"/>
      <c r="B4" s="2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5"/>
      <c r="AG4" s="8"/>
      <c r="AH4" s="8"/>
      <c r="AI4" s="20"/>
    </row>
    <row r="5" spans="1:35" ht="30.75" customHeight="1">
      <c r="A5" s="8"/>
      <c r="B5" s="9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12</v>
      </c>
      <c r="R5" s="6" t="s">
        <v>8</v>
      </c>
      <c r="S5" s="6" t="s">
        <v>9</v>
      </c>
      <c r="T5" s="6" t="s">
        <v>10</v>
      </c>
      <c r="U5" s="6" t="s">
        <v>11</v>
      </c>
      <c r="V5" s="6" t="s">
        <v>12</v>
      </c>
      <c r="W5" s="6" t="s">
        <v>8</v>
      </c>
      <c r="X5" s="6" t="s">
        <v>9</v>
      </c>
      <c r="Y5" s="6" t="s">
        <v>10</v>
      </c>
      <c r="Z5" s="6" t="s">
        <v>11</v>
      </c>
      <c r="AA5" s="6" t="s">
        <v>12</v>
      </c>
      <c r="AB5" s="6" t="s">
        <v>8</v>
      </c>
      <c r="AC5" s="6" t="s">
        <v>9</v>
      </c>
      <c r="AD5" s="6" t="s">
        <v>10</v>
      </c>
      <c r="AE5" s="6" t="s">
        <v>11</v>
      </c>
      <c r="AF5" s="14" t="s">
        <v>12</v>
      </c>
      <c r="AG5" s="8"/>
      <c r="AH5" s="8"/>
      <c r="AI5" s="20"/>
    </row>
    <row r="6" spans="1:35">
      <c r="A6" s="8"/>
      <c r="B6" s="9" t="s">
        <v>13</v>
      </c>
      <c r="C6" s="7">
        <v>252</v>
      </c>
      <c r="D6" s="7">
        <v>242.9</v>
      </c>
      <c r="E6" s="6">
        <f>C6-D6</f>
        <v>9.0999999999999943</v>
      </c>
      <c r="F6" s="6">
        <f>E6*100/E14</f>
        <v>13.362701908957447</v>
      </c>
      <c r="G6" s="6">
        <f>F6*C15/100</f>
        <v>4676.9456681351066</v>
      </c>
      <c r="H6" s="7">
        <v>271.39999999999998</v>
      </c>
      <c r="I6" s="6">
        <f>C6</f>
        <v>252</v>
      </c>
      <c r="J6" s="6">
        <f>H6-I6</f>
        <v>19.399999999999977</v>
      </c>
      <c r="K6" s="6">
        <f>J6*100/J14</f>
        <v>12.890365448504953</v>
      </c>
      <c r="L6" s="6">
        <f>K6*H15/100</f>
        <v>8842.790697674398</v>
      </c>
      <c r="M6" s="7"/>
      <c r="N6" s="6">
        <f>H6</f>
        <v>271.39999999999998</v>
      </c>
      <c r="O6" s="6">
        <f>M6-N6</f>
        <v>-271.39999999999998</v>
      </c>
      <c r="P6" s="6">
        <f>O6*100/O14</f>
        <v>6.6125770533343067</v>
      </c>
      <c r="Q6" s="6">
        <f>P6*M15/100</f>
        <v>0</v>
      </c>
      <c r="R6" s="7"/>
      <c r="S6" s="6">
        <f>M6</f>
        <v>0</v>
      </c>
      <c r="T6" s="6">
        <f>R6-S6</f>
        <v>0</v>
      </c>
      <c r="U6" s="6" t="e">
        <f>T6*100/T14</f>
        <v>#DIV/0!</v>
      </c>
      <c r="V6" s="6" t="e">
        <f>U6*R15/100</f>
        <v>#DIV/0!</v>
      </c>
      <c r="W6" s="7"/>
      <c r="X6" s="6">
        <f>R6</f>
        <v>0</v>
      </c>
      <c r="Y6" s="6">
        <f>W6-X6</f>
        <v>0</v>
      </c>
      <c r="Z6" s="6" t="e">
        <f>Y6*100/Y14</f>
        <v>#DIV/0!</v>
      </c>
      <c r="AA6" s="6" t="e">
        <f>Z6*W15/100</f>
        <v>#DIV/0!</v>
      </c>
      <c r="AB6" s="7"/>
      <c r="AC6" s="6">
        <f>W6</f>
        <v>0</v>
      </c>
      <c r="AD6" s="6">
        <f>AB6-AC6</f>
        <v>0</v>
      </c>
      <c r="AE6" s="6" t="e">
        <f>AD6*100/AD14</f>
        <v>#DIV/0!</v>
      </c>
      <c r="AF6" s="14" t="e">
        <f>AE6*AB15/100</f>
        <v>#DIV/0!</v>
      </c>
      <c r="AG6" s="8"/>
      <c r="AH6" s="8"/>
      <c r="AI6" s="20"/>
    </row>
    <row r="7" spans="1:35">
      <c r="A7" s="8"/>
      <c r="B7" s="9" t="s">
        <v>14</v>
      </c>
      <c r="C7" s="7">
        <v>196.1</v>
      </c>
      <c r="D7" s="7">
        <v>190</v>
      </c>
      <c r="E7" s="6">
        <f>C7-D7</f>
        <v>6.0999999999999943</v>
      </c>
      <c r="F7" s="6">
        <f>E7*100/E14</f>
        <v>8.9574155653450998</v>
      </c>
      <c r="G7" s="6">
        <f>F7*C15/100</f>
        <v>3135.0954478707849</v>
      </c>
      <c r="H7" s="7">
        <v>200.8</v>
      </c>
      <c r="I7" s="6">
        <f t="shared" ref="I7:I13" si="0">C7</f>
        <v>196.1</v>
      </c>
      <c r="J7" s="6">
        <f t="shared" ref="J7:J13" si="1">H7-I7</f>
        <v>4.7000000000000171</v>
      </c>
      <c r="K7" s="6">
        <f>J7*100/J14</f>
        <v>3.1229235880398747</v>
      </c>
      <c r="L7" s="6">
        <f>K7*H15/100</f>
        <v>2142.3255813953538</v>
      </c>
      <c r="M7" s="7"/>
      <c r="N7" s="6">
        <f t="shared" ref="N7:N13" si="2">H7</f>
        <v>200.8</v>
      </c>
      <c r="O7" s="6">
        <f t="shared" ref="O7:O13" si="3">M7-N7</f>
        <v>-200.8</v>
      </c>
      <c r="P7" s="6">
        <f>O7*100/O14</f>
        <v>4.8924298906025383</v>
      </c>
      <c r="Q7" s="6">
        <f>P7*M15/100</f>
        <v>0</v>
      </c>
      <c r="R7" s="7"/>
      <c r="S7" s="6">
        <f t="shared" ref="S7:S13" si="4">M7</f>
        <v>0</v>
      </c>
      <c r="T7" s="6">
        <f t="shared" ref="T7:T13" si="5">R7-S7</f>
        <v>0</v>
      </c>
      <c r="U7" s="6" t="e">
        <f>T7*100/T14</f>
        <v>#DIV/0!</v>
      </c>
      <c r="V7" s="6" t="e">
        <f>U7*R15/100</f>
        <v>#DIV/0!</v>
      </c>
      <c r="W7" s="7"/>
      <c r="X7" s="6">
        <f t="shared" ref="X7:X13" si="6">R7</f>
        <v>0</v>
      </c>
      <c r="Y7" s="6">
        <f t="shared" ref="Y7:Y13" si="7">W7-X7</f>
        <v>0</v>
      </c>
      <c r="Z7" s="6" t="e">
        <f>Y7*100/Y14</f>
        <v>#DIV/0!</v>
      </c>
      <c r="AA7" s="6" t="e">
        <f>Z7*W15/100</f>
        <v>#DIV/0!</v>
      </c>
      <c r="AB7" s="7"/>
      <c r="AC7" s="6">
        <f t="shared" ref="AC7:AC13" si="8">W7</f>
        <v>0</v>
      </c>
      <c r="AD7" s="6">
        <f t="shared" ref="AD7:AD13" si="9">AB7-AC7</f>
        <v>0</v>
      </c>
      <c r="AE7" s="6" t="e">
        <f>AD7*100/AD14</f>
        <v>#DIV/0!</v>
      </c>
      <c r="AF7" s="14" t="e">
        <f>AE7*AB15/100</f>
        <v>#DIV/0!</v>
      </c>
      <c r="AG7" s="8"/>
      <c r="AH7" s="8"/>
      <c r="AI7" s="20"/>
    </row>
    <row r="8" spans="1:35">
      <c r="A8" s="8"/>
      <c r="B8" s="9" t="s">
        <v>46</v>
      </c>
      <c r="C8" s="7">
        <v>1225.8</v>
      </c>
      <c r="D8" s="7">
        <v>1222</v>
      </c>
      <c r="E8" s="6">
        <f t="shared" ref="E8:E13" si="10">C8-D8</f>
        <v>3.7999999999999545</v>
      </c>
      <c r="F8" s="6">
        <f>E8*100/E14</f>
        <v>5.5800293685755742</v>
      </c>
      <c r="G8" s="6">
        <f>F8*C15/100</f>
        <v>1953.010279001451</v>
      </c>
      <c r="H8" s="7">
        <v>1233.2</v>
      </c>
      <c r="I8" s="6">
        <f t="shared" si="0"/>
        <v>1225.8</v>
      </c>
      <c r="J8" s="6">
        <f t="shared" si="1"/>
        <v>7.4000000000000909</v>
      </c>
      <c r="K8" s="6">
        <f>J8*100/J14</f>
        <v>4.9169435215947397</v>
      </c>
      <c r="L8" s="6">
        <f>K8*H15/100</f>
        <v>3373.0232558139915</v>
      </c>
      <c r="M8" s="7"/>
      <c r="N8" s="6">
        <f t="shared" si="2"/>
        <v>1233.2</v>
      </c>
      <c r="O8" s="6">
        <f t="shared" si="3"/>
        <v>-1233.2</v>
      </c>
      <c r="P8" s="6">
        <f>O8*100/O14</f>
        <v>30.046536559218378</v>
      </c>
      <c r="Q8" s="6">
        <f>P8*M15/100</f>
        <v>0</v>
      </c>
      <c r="R8" s="7"/>
      <c r="S8" s="6">
        <f t="shared" si="4"/>
        <v>0</v>
      </c>
      <c r="T8" s="6">
        <f t="shared" si="5"/>
        <v>0</v>
      </c>
      <c r="U8" s="6" t="e">
        <f>T8*100/T14</f>
        <v>#DIV/0!</v>
      </c>
      <c r="V8" s="6" t="e">
        <f>U8*R15/100</f>
        <v>#DIV/0!</v>
      </c>
      <c r="W8" s="7"/>
      <c r="X8" s="6">
        <f t="shared" si="6"/>
        <v>0</v>
      </c>
      <c r="Y8" s="6">
        <f t="shared" si="7"/>
        <v>0</v>
      </c>
      <c r="Z8" s="6" t="e">
        <f>Y8*100/Y14</f>
        <v>#DIV/0!</v>
      </c>
      <c r="AA8" s="6" t="e">
        <f>Z8*W15/100</f>
        <v>#DIV/0!</v>
      </c>
      <c r="AB8" s="7"/>
      <c r="AC8" s="6">
        <f t="shared" si="8"/>
        <v>0</v>
      </c>
      <c r="AD8" s="6">
        <f t="shared" si="9"/>
        <v>0</v>
      </c>
      <c r="AE8" s="6" t="e">
        <f>AD8*100/AD14</f>
        <v>#DIV/0!</v>
      </c>
      <c r="AF8" s="14" t="e">
        <f>AE8*AB15/100</f>
        <v>#DIV/0!</v>
      </c>
      <c r="AG8" s="8"/>
      <c r="AH8" s="8"/>
      <c r="AI8" s="20"/>
    </row>
    <row r="9" spans="1:35">
      <c r="A9" s="8"/>
      <c r="B9" s="9" t="s">
        <v>44</v>
      </c>
      <c r="C9" s="7">
        <v>164.7</v>
      </c>
      <c r="D9" s="7">
        <v>162</v>
      </c>
      <c r="E9" s="6">
        <f t="shared" si="10"/>
        <v>2.6999999999999886</v>
      </c>
      <c r="F9" s="6">
        <f>E9*100/E14</f>
        <v>3.9647577092510966</v>
      </c>
      <c r="G9" s="6">
        <f>F9*C15/100</f>
        <v>1387.6651982378837</v>
      </c>
      <c r="H9" s="7">
        <v>166.9</v>
      </c>
      <c r="I9" s="6">
        <f t="shared" si="0"/>
        <v>164.7</v>
      </c>
      <c r="J9" s="6">
        <f t="shared" si="1"/>
        <v>2.2000000000000171</v>
      </c>
      <c r="K9" s="6">
        <f>J9*100/J14</f>
        <v>1.4617940199335644</v>
      </c>
      <c r="L9" s="6">
        <f>K9*H15/100</f>
        <v>1002.7906976744251</v>
      </c>
      <c r="M9" s="7"/>
      <c r="N9" s="6">
        <f t="shared" si="2"/>
        <v>166.9</v>
      </c>
      <c r="O9" s="6">
        <f t="shared" si="3"/>
        <v>-166.9</v>
      </c>
      <c r="P9" s="6">
        <f>O9*100/O14</f>
        <v>4.0664668762030063</v>
      </c>
      <c r="Q9" s="6">
        <f>P9*M15/100</f>
        <v>0</v>
      </c>
      <c r="R9" s="7"/>
      <c r="S9" s="6">
        <f t="shared" si="4"/>
        <v>0</v>
      </c>
      <c r="T9" s="6">
        <f t="shared" si="5"/>
        <v>0</v>
      </c>
      <c r="U9" s="6" t="e">
        <f>T9*100/T14</f>
        <v>#DIV/0!</v>
      </c>
      <c r="V9" s="6" t="e">
        <f>U9*R15/100</f>
        <v>#DIV/0!</v>
      </c>
      <c r="W9" s="7"/>
      <c r="X9" s="6">
        <f t="shared" si="6"/>
        <v>0</v>
      </c>
      <c r="Y9" s="6">
        <f t="shared" si="7"/>
        <v>0</v>
      </c>
      <c r="Z9" s="6" t="e">
        <f>Y9*100/Y14</f>
        <v>#DIV/0!</v>
      </c>
      <c r="AA9" s="6" t="e">
        <f>Z9*W15/100</f>
        <v>#DIV/0!</v>
      </c>
      <c r="AB9" s="7"/>
      <c r="AC9" s="6">
        <f t="shared" si="8"/>
        <v>0</v>
      </c>
      <c r="AD9" s="6">
        <f t="shared" si="9"/>
        <v>0</v>
      </c>
      <c r="AE9" s="6" t="e">
        <f>AD9*100/AD14</f>
        <v>#DIV/0!</v>
      </c>
      <c r="AF9" s="14" t="e">
        <f>AE9*AB15/100</f>
        <v>#DIV/0!</v>
      </c>
      <c r="AG9" s="8"/>
      <c r="AH9" s="8"/>
      <c r="AI9" s="20"/>
    </row>
    <row r="10" spans="1:35">
      <c r="A10" s="8"/>
      <c r="B10" s="9" t="s">
        <v>45</v>
      </c>
      <c r="C10" s="7">
        <v>794.3</v>
      </c>
      <c r="D10" s="7">
        <v>794</v>
      </c>
      <c r="E10" s="6">
        <f t="shared" si="10"/>
        <v>0.29999999999995453</v>
      </c>
      <c r="F10" s="6">
        <f>E10*100/E14</f>
        <v>0.44052863436116801</v>
      </c>
      <c r="G10" s="6">
        <f>F10*C15/100</f>
        <v>154.1850220264088</v>
      </c>
      <c r="H10" s="7">
        <v>818.1</v>
      </c>
      <c r="I10" s="6">
        <f t="shared" si="0"/>
        <v>794.3</v>
      </c>
      <c r="J10" s="6">
        <f t="shared" si="1"/>
        <v>23.800000000000068</v>
      </c>
      <c r="K10" s="6">
        <f>J10*100/J14</f>
        <v>15.813953488372121</v>
      </c>
      <c r="L10" s="6">
        <f>K10*H15/100</f>
        <v>10848.372093023276</v>
      </c>
      <c r="M10" s="7"/>
      <c r="N10" s="6">
        <f t="shared" si="2"/>
        <v>818.1</v>
      </c>
      <c r="O10" s="6">
        <f t="shared" si="3"/>
        <v>-818.1</v>
      </c>
      <c r="P10" s="6">
        <f>O10*100/O14</f>
        <v>19.932753453694904</v>
      </c>
      <c r="Q10" s="6">
        <f>P10*M15/100</f>
        <v>0</v>
      </c>
      <c r="R10" s="7"/>
      <c r="S10" s="6">
        <f t="shared" si="4"/>
        <v>0</v>
      </c>
      <c r="T10" s="6">
        <f t="shared" si="5"/>
        <v>0</v>
      </c>
      <c r="U10" s="6" t="e">
        <f>T10*100/T14</f>
        <v>#DIV/0!</v>
      </c>
      <c r="V10" s="6" t="e">
        <f>U10*R15/100</f>
        <v>#DIV/0!</v>
      </c>
      <c r="W10" s="7"/>
      <c r="X10" s="6">
        <f t="shared" si="6"/>
        <v>0</v>
      </c>
      <c r="Y10" s="6">
        <f t="shared" si="7"/>
        <v>0</v>
      </c>
      <c r="Z10" s="6" t="e">
        <f>Y10*100/Y14</f>
        <v>#DIV/0!</v>
      </c>
      <c r="AA10" s="6"/>
      <c r="AB10" s="7"/>
      <c r="AC10" s="6">
        <f t="shared" si="8"/>
        <v>0</v>
      </c>
      <c r="AD10" s="6">
        <f t="shared" si="9"/>
        <v>0</v>
      </c>
      <c r="AE10" s="6" t="e">
        <f>AD10*100/AD14</f>
        <v>#DIV/0!</v>
      </c>
      <c r="AF10" s="14" t="e">
        <f>AE10*AB15/100</f>
        <v>#DIV/0!</v>
      </c>
      <c r="AG10" s="8"/>
      <c r="AH10" s="8"/>
      <c r="AI10" s="20"/>
    </row>
    <row r="11" spans="1:35">
      <c r="A11" s="8"/>
      <c r="B11" s="9" t="s">
        <v>18</v>
      </c>
      <c r="C11" s="7">
        <v>827.3</v>
      </c>
      <c r="D11" s="7">
        <v>813.2</v>
      </c>
      <c r="E11" s="6">
        <f t="shared" si="10"/>
        <v>14.099999999999909</v>
      </c>
      <c r="F11" s="6">
        <f>E11*100/E14</f>
        <v>20.704845814977901</v>
      </c>
      <c r="G11" s="6">
        <f>F11*C15/100</f>
        <v>7246.6960352422657</v>
      </c>
      <c r="H11" s="7">
        <v>839.9</v>
      </c>
      <c r="I11" s="6">
        <f t="shared" si="0"/>
        <v>827.3</v>
      </c>
      <c r="J11" s="6">
        <f t="shared" si="1"/>
        <v>12.600000000000023</v>
      </c>
      <c r="K11" s="6">
        <f>J11*100/J14</f>
        <v>8.3720930232558199</v>
      </c>
      <c r="L11" s="6">
        <f>K11*H15/100</f>
        <v>5743.2558139534922</v>
      </c>
      <c r="M11" s="7"/>
      <c r="N11" s="6">
        <f t="shared" si="2"/>
        <v>839.9</v>
      </c>
      <c r="O11" s="6">
        <f t="shared" si="3"/>
        <v>-839.9</v>
      </c>
      <c r="P11" s="6">
        <f>O11*100/O14</f>
        <v>20.46390371074239</v>
      </c>
      <c r="Q11" s="6">
        <f>P11*M15/100</f>
        <v>0</v>
      </c>
      <c r="R11" s="7"/>
      <c r="S11" s="6">
        <f t="shared" si="4"/>
        <v>0</v>
      </c>
      <c r="T11" s="6">
        <f t="shared" si="5"/>
        <v>0</v>
      </c>
      <c r="U11" s="6" t="e">
        <f>T11*100/T14</f>
        <v>#DIV/0!</v>
      </c>
      <c r="V11" s="6" t="e">
        <f>U11*R15/100</f>
        <v>#DIV/0!</v>
      </c>
      <c r="W11" s="7"/>
      <c r="X11" s="6">
        <f t="shared" si="6"/>
        <v>0</v>
      </c>
      <c r="Y11" s="6">
        <f t="shared" si="7"/>
        <v>0</v>
      </c>
      <c r="Z11" s="6" t="e">
        <f>Y11*100/Y14</f>
        <v>#DIV/0!</v>
      </c>
      <c r="AA11" s="6" t="e">
        <f>Z11*W15/100</f>
        <v>#DIV/0!</v>
      </c>
      <c r="AB11" s="7"/>
      <c r="AC11" s="6">
        <f t="shared" si="8"/>
        <v>0</v>
      </c>
      <c r="AD11" s="6">
        <f t="shared" si="9"/>
        <v>0</v>
      </c>
      <c r="AE11" s="6" t="e">
        <f>AD11*100/AD14</f>
        <v>#DIV/0!</v>
      </c>
      <c r="AF11" s="14" t="e">
        <f>AE11*AB15/100</f>
        <v>#DIV/0!</v>
      </c>
      <c r="AG11" s="8"/>
      <c r="AH11" s="8"/>
      <c r="AI11" s="20"/>
    </row>
    <row r="12" spans="1:35">
      <c r="A12" s="8"/>
      <c r="B12" s="9" t="s">
        <v>47</v>
      </c>
      <c r="C12" s="7">
        <v>359.3</v>
      </c>
      <c r="D12" s="7"/>
      <c r="E12" s="6"/>
      <c r="F12" s="6"/>
      <c r="G12" s="6"/>
      <c r="H12" s="7">
        <v>388.7</v>
      </c>
      <c r="I12" s="6">
        <f t="shared" si="0"/>
        <v>359.3</v>
      </c>
      <c r="J12" s="6">
        <f t="shared" si="1"/>
        <v>29.399999999999977</v>
      </c>
      <c r="K12" s="6">
        <f>J12*100/J14</f>
        <v>19.534883720930196</v>
      </c>
      <c r="L12" s="6">
        <f>K12*H15/100</f>
        <v>13400.930232558116</v>
      </c>
      <c r="M12" s="7"/>
      <c r="N12" s="6">
        <f t="shared" si="2"/>
        <v>388.7</v>
      </c>
      <c r="O12" s="6"/>
      <c r="P12" s="6"/>
      <c r="Q12" s="6"/>
      <c r="R12" s="7"/>
      <c r="S12" s="6"/>
      <c r="T12" s="6"/>
      <c r="U12" s="6"/>
      <c r="V12" s="6"/>
      <c r="W12" s="7"/>
      <c r="X12" s="6"/>
      <c r="Y12" s="6"/>
      <c r="Z12" s="6"/>
      <c r="AA12" s="6"/>
      <c r="AB12" s="7"/>
      <c r="AC12" s="6"/>
      <c r="AD12" s="6"/>
      <c r="AE12" s="6"/>
      <c r="AF12" s="14"/>
      <c r="AG12" s="8"/>
      <c r="AH12" s="8"/>
      <c r="AI12" s="20"/>
    </row>
    <row r="13" spans="1:35">
      <c r="A13" s="8"/>
      <c r="B13" s="9" t="s">
        <v>19</v>
      </c>
      <c r="C13" s="7">
        <v>523</v>
      </c>
      <c r="D13" s="7">
        <v>491</v>
      </c>
      <c r="E13" s="6">
        <f t="shared" si="10"/>
        <v>32</v>
      </c>
      <c r="F13" s="6">
        <f>E13*100/E14</f>
        <v>46.989720998531709</v>
      </c>
      <c r="G13" s="6">
        <f>F13*C15/100</f>
        <v>16446.402349486096</v>
      </c>
      <c r="H13" s="7">
        <v>574</v>
      </c>
      <c r="I13" s="6">
        <f t="shared" si="0"/>
        <v>523</v>
      </c>
      <c r="J13" s="6">
        <f t="shared" si="1"/>
        <v>51</v>
      </c>
      <c r="K13" s="6">
        <f>J13*100/J14</f>
        <v>33.887043189368732</v>
      </c>
      <c r="L13" s="6">
        <f>K13*H15/100</f>
        <v>23246.511627906952</v>
      </c>
      <c r="M13" s="7"/>
      <c r="N13" s="6">
        <f t="shared" si="2"/>
        <v>574</v>
      </c>
      <c r="O13" s="6">
        <f t="shared" si="3"/>
        <v>-574</v>
      </c>
      <c r="P13" s="6">
        <f>O13*100/O14</f>
        <v>13.985332456204468</v>
      </c>
      <c r="Q13" s="6">
        <f>P13*M15/100</f>
        <v>0</v>
      </c>
      <c r="R13" s="7"/>
      <c r="S13" s="6">
        <f t="shared" si="4"/>
        <v>0</v>
      </c>
      <c r="T13" s="6">
        <f t="shared" si="5"/>
        <v>0</v>
      </c>
      <c r="U13" s="6" t="e">
        <f>T13*100/T14</f>
        <v>#DIV/0!</v>
      </c>
      <c r="V13" s="6" t="e">
        <f>U13*R15/100</f>
        <v>#DIV/0!</v>
      </c>
      <c r="W13" s="7"/>
      <c r="X13" s="6">
        <f t="shared" si="6"/>
        <v>0</v>
      </c>
      <c r="Y13" s="6">
        <f t="shared" si="7"/>
        <v>0</v>
      </c>
      <c r="Z13" s="6" t="e">
        <f>Y13*100/Y14</f>
        <v>#DIV/0!</v>
      </c>
      <c r="AA13" s="6" t="e">
        <f>Z13*W15/100</f>
        <v>#DIV/0!</v>
      </c>
      <c r="AB13" s="7"/>
      <c r="AC13" s="6">
        <f t="shared" si="8"/>
        <v>0</v>
      </c>
      <c r="AD13" s="6">
        <f t="shared" si="9"/>
        <v>0</v>
      </c>
      <c r="AE13" s="6" t="e">
        <f>AD13*100/AD14</f>
        <v>#DIV/0!</v>
      </c>
      <c r="AF13" s="14" t="e">
        <f>AE13*AB15/100</f>
        <v>#DIV/0!</v>
      </c>
      <c r="AG13" s="8"/>
      <c r="AH13" s="8"/>
      <c r="AI13" s="20"/>
    </row>
    <row r="14" spans="1:35" ht="31.5" customHeight="1">
      <c r="A14" s="8"/>
      <c r="B14" s="9" t="s">
        <v>20</v>
      </c>
      <c r="C14" s="6">
        <f t="shared" ref="C14:AF14" si="11">SUM(C6:C13)</f>
        <v>4342.5</v>
      </c>
      <c r="D14" s="10">
        <f t="shared" si="11"/>
        <v>3915.1000000000004</v>
      </c>
      <c r="E14" s="10">
        <f t="shared" si="11"/>
        <v>68.099999999999795</v>
      </c>
      <c r="F14" s="10">
        <f t="shared" si="11"/>
        <v>100</v>
      </c>
      <c r="G14" s="10">
        <f t="shared" si="11"/>
        <v>35000</v>
      </c>
      <c r="H14" s="6">
        <f t="shared" si="11"/>
        <v>4493</v>
      </c>
      <c r="I14" s="10">
        <f t="shared" si="11"/>
        <v>4342.5</v>
      </c>
      <c r="J14" s="10">
        <f t="shared" si="11"/>
        <v>150.50000000000017</v>
      </c>
      <c r="K14" s="10">
        <f t="shared" si="11"/>
        <v>100</v>
      </c>
      <c r="L14" s="10">
        <f t="shared" si="11"/>
        <v>68600</v>
      </c>
      <c r="M14" s="6">
        <f t="shared" si="11"/>
        <v>0</v>
      </c>
      <c r="N14" s="10">
        <f t="shared" si="11"/>
        <v>4493</v>
      </c>
      <c r="O14" s="10">
        <f t="shared" si="11"/>
        <v>-4104.3</v>
      </c>
      <c r="P14" s="10">
        <f t="shared" si="11"/>
        <v>100</v>
      </c>
      <c r="Q14" s="10">
        <f t="shared" si="11"/>
        <v>0</v>
      </c>
      <c r="R14" s="6">
        <f t="shared" si="11"/>
        <v>0</v>
      </c>
      <c r="S14" s="10">
        <f t="shared" si="11"/>
        <v>0</v>
      </c>
      <c r="T14" s="10">
        <f t="shared" si="11"/>
        <v>0</v>
      </c>
      <c r="U14" s="10" t="e">
        <f t="shared" si="11"/>
        <v>#DIV/0!</v>
      </c>
      <c r="V14" s="10" t="e">
        <f t="shared" si="11"/>
        <v>#DIV/0!</v>
      </c>
      <c r="W14" s="6">
        <f t="shared" si="11"/>
        <v>0</v>
      </c>
      <c r="X14" s="10">
        <f t="shared" si="11"/>
        <v>0</v>
      </c>
      <c r="Y14" s="10">
        <f t="shared" si="11"/>
        <v>0</v>
      </c>
      <c r="Z14" s="10" t="e">
        <f t="shared" si="11"/>
        <v>#DIV/0!</v>
      </c>
      <c r="AA14" s="10" t="e">
        <f t="shared" si="11"/>
        <v>#DIV/0!</v>
      </c>
      <c r="AB14" s="6">
        <f t="shared" si="11"/>
        <v>0</v>
      </c>
      <c r="AC14" s="10">
        <f t="shared" si="11"/>
        <v>0</v>
      </c>
      <c r="AD14" s="10">
        <f t="shared" si="11"/>
        <v>0</v>
      </c>
      <c r="AE14" s="10" t="e">
        <f t="shared" si="11"/>
        <v>#DIV/0!</v>
      </c>
      <c r="AF14" s="17" t="e">
        <f t="shared" si="11"/>
        <v>#DIV/0!</v>
      </c>
      <c r="AG14" s="8"/>
      <c r="AH14" s="8"/>
      <c r="AI14" s="20"/>
    </row>
    <row r="15" spans="1:35">
      <c r="A15" s="8"/>
      <c r="B15" s="23" t="s">
        <v>21</v>
      </c>
      <c r="C15" s="27">
        <v>35000</v>
      </c>
      <c r="D15" s="8"/>
      <c r="E15" s="8"/>
      <c r="F15" s="8"/>
      <c r="G15" s="8"/>
      <c r="H15" s="30">
        <v>68600</v>
      </c>
      <c r="I15" s="8"/>
      <c r="J15" s="8"/>
      <c r="K15" s="8"/>
      <c r="L15" s="8"/>
      <c r="M15" s="30"/>
      <c r="N15" s="8"/>
      <c r="O15" s="8"/>
      <c r="P15" s="8"/>
      <c r="Q15" s="8"/>
      <c r="R15" s="30"/>
      <c r="S15" s="8"/>
      <c r="T15" s="8"/>
      <c r="U15" s="8"/>
      <c r="V15" s="8"/>
      <c r="W15" s="30"/>
      <c r="X15" s="8"/>
      <c r="Y15" s="8"/>
      <c r="Z15" s="8"/>
      <c r="AA15" s="8"/>
      <c r="AB15" s="30"/>
      <c r="AC15" s="8"/>
      <c r="AD15" s="8"/>
      <c r="AE15" s="8"/>
      <c r="AF15" s="8"/>
      <c r="AG15" s="8"/>
      <c r="AH15" s="8"/>
      <c r="AI15" s="20"/>
    </row>
    <row r="16" spans="1:35">
      <c r="A16" s="8"/>
      <c r="B16" s="24"/>
      <c r="C16" s="28"/>
      <c r="D16" s="8"/>
      <c r="E16" s="8"/>
      <c r="F16" s="8"/>
      <c r="G16" s="8"/>
      <c r="H16" s="31"/>
      <c r="I16" s="8"/>
      <c r="J16" s="8"/>
      <c r="K16" s="8"/>
      <c r="L16" s="8"/>
      <c r="M16" s="31"/>
      <c r="N16" s="8"/>
      <c r="O16" s="8"/>
      <c r="P16" s="8"/>
      <c r="Q16" s="8"/>
      <c r="R16" s="31"/>
      <c r="S16" s="8"/>
      <c r="T16" s="8"/>
      <c r="U16" s="8"/>
      <c r="V16" s="8"/>
      <c r="W16" s="31"/>
      <c r="X16" s="8"/>
      <c r="Y16" s="8"/>
      <c r="Z16" s="8"/>
      <c r="AA16" s="8"/>
      <c r="AB16" s="31"/>
      <c r="AC16" s="8"/>
      <c r="AD16" s="8"/>
      <c r="AE16" s="8"/>
      <c r="AF16" s="8"/>
      <c r="AG16" s="8"/>
      <c r="AH16" s="8"/>
      <c r="AI16" s="20"/>
    </row>
    <row r="17" spans="1:35">
      <c r="A17" s="8"/>
      <c r="B17" s="8"/>
      <c r="C17" s="8" t="s">
        <v>22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20"/>
    </row>
    <row r="18" spans="1: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0"/>
    </row>
    <row r="19" spans="1: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20"/>
    </row>
    <row r="20" spans="1: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20"/>
    </row>
    <row r="21" spans="1: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20"/>
    </row>
    <row r="22" spans="1:35" ht="30.75" customHeight="1">
      <c r="A22" s="8"/>
      <c r="B22" s="11" t="s">
        <v>7</v>
      </c>
      <c r="C22" s="12" t="s">
        <v>10</v>
      </c>
      <c r="D22" s="12" t="s">
        <v>11</v>
      </c>
      <c r="E22" s="12" t="s">
        <v>12</v>
      </c>
      <c r="F22" s="13" t="s">
        <v>23</v>
      </c>
      <c r="G22" s="8"/>
      <c r="H22" s="11" t="s">
        <v>10</v>
      </c>
      <c r="I22" s="12" t="s">
        <v>11</v>
      </c>
      <c r="J22" s="12" t="s">
        <v>12</v>
      </c>
      <c r="K22" s="13" t="s">
        <v>23</v>
      </c>
      <c r="L22" s="8"/>
      <c r="M22" s="11" t="s">
        <v>10</v>
      </c>
      <c r="N22" s="12" t="s">
        <v>11</v>
      </c>
      <c r="O22" s="12" t="s">
        <v>12</v>
      </c>
      <c r="P22" s="13" t="s">
        <v>23</v>
      </c>
      <c r="Q22" s="8"/>
      <c r="R22" s="11" t="s">
        <v>10</v>
      </c>
      <c r="S22" s="12" t="s">
        <v>11</v>
      </c>
      <c r="T22" s="12" t="s">
        <v>12</v>
      </c>
      <c r="U22" s="13" t="s">
        <v>23</v>
      </c>
      <c r="V22" s="8"/>
      <c r="W22" s="11" t="s">
        <v>10</v>
      </c>
      <c r="X22" s="12" t="s">
        <v>11</v>
      </c>
      <c r="Y22" s="12" t="s">
        <v>12</v>
      </c>
      <c r="Z22" s="13" t="s">
        <v>23</v>
      </c>
      <c r="AA22" s="8"/>
      <c r="AB22" s="11" t="s">
        <v>10</v>
      </c>
      <c r="AC22" s="12" t="s">
        <v>11</v>
      </c>
      <c r="AD22" s="12" t="s">
        <v>12</v>
      </c>
      <c r="AE22" s="13" t="s">
        <v>23</v>
      </c>
      <c r="AF22" s="8"/>
      <c r="AG22" s="8"/>
      <c r="AH22" s="8"/>
      <c r="AI22" s="20"/>
    </row>
    <row r="23" spans="1:35">
      <c r="A23" s="8"/>
      <c r="B23" s="9" t="s">
        <v>13</v>
      </c>
      <c r="C23" s="6">
        <f>E6</f>
        <v>9.0999999999999943</v>
      </c>
      <c r="D23" s="6">
        <f>C23*100/C33</f>
        <v>2.2749999999999986</v>
      </c>
      <c r="E23" s="6">
        <f>D23*C15/100</f>
        <v>796.24999999999955</v>
      </c>
      <c r="F23" s="14">
        <f>G6-E23</f>
        <v>3880.6956681351071</v>
      </c>
      <c r="G23" s="8"/>
      <c r="H23" s="9">
        <f>J6</f>
        <v>19.399999999999977</v>
      </c>
      <c r="I23" s="6" t="e">
        <f>H23*100/H33</f>
        <v>#DIV/0!</v>
      </c>
      <c r="J23" s="6" t="e">
        <f>I23*H15/100</f>
        <v>#DIV/0!</v>
      </c>
      <c r="K23" s="14" t="e">
        <f>L6-J23</f>
        <v>#DIV/0!</v>
      </c>
      <c r="L23" s="8"/>
      <c r="M23" s="9">
        <f>O6</f>
        <v>-271.39999999999998</v>
      </c>
      <c r="N23" s="6" t="e">
        <f>M23*100/M33</f>
        <v>#DIV/0!</v>
      </c>
      <c r="O23" s="6" t="e">
        <f>N23*M15/100</f>
        <v>#DIV/0!</v>
      </c>
      <c r="P23" s="14" t="e">
        <f>Q6-O23</f>
        <v>#DIV/0!</v>
      </c>
      <c r="Q23" s="8"/>
      <c r="R23" s="9">
        <f>T6</f>
        <v>0</v>
      </c>
      <c r="S23" s="6" t="e">
        <f>R23*100/R33</f>
        <v>#DIV/0!</v>
      </c>
      <c r="T23" s="6" t="e">
        <f>S23*R15/100</f>
        <v>#DIV/0!</v>
      </c>
      <c r="U23" s="14" t="e">
        <f>V6-T23</f>
        <v>#DIV/0!</v>
      </c>
      <c r="V23" s="8"/>
      <c r="W23" s="9">
        <f>Y6</f>
        <v>0</v>
      </c>
      <c r="X23" s="6" t="e">
        <f>W23*100/W33</f>
        <v>#DIV/0!</v>
      </c>
      <c r="Y23" s="6" t="e">
        <f>X23*W15/100</f>
        <v>#DIV/0!</v>
      </c>
      <c r="Z23" s="14" t="e">
        <f>AA6-Y23</f>
        <v>#DIV/0!</v>
      </c>
      <c r="AA23" s="8"/>
      <c r="AB23" s="9">
        <f>AD6</f>
        <v>0</v>
      </c>
      <c r="AC23" s="6" t="e">
        <f>AB23*100/AB33</f>
        <v>#DIV/0!</v>
      </c>
      <c r="AD23" s="6" t="e">
        <f>AC23*AB15/100</f>
        <v>#DIV/0!</v>
      </c>
      <c r="AE23" s="14" t="e">
        <f>AF6-AD23</f>
        <v>#DIV/0!</v>
      </c>
      <c r="AF23" s="8"/>
      <c r="AG23" s="8"/>
      <c r="AH23" s="8"/>
      <c r="AI23" s="20"/>
    </row>
    <row r="24" spans="1:35">
      <c r="A24" s="8"/>
      <c r="B24" s="9" t="s">
        <v>14</v>
      </c>
      <c r="C24" s="6">
        <f>E7</f>
        <v>6.0999999999999943</v>
      </c>
      <c r="D24" s="6">
        <f>C24*100/C33</f>
        <v>1.5249999999999986</v>
      </c>
      <c r="E24" s="6">
        <f>D24*C15/100</f>
        <v>533.74999999999955</v>
      </c>
      <c r="F24" s="14">
        <f>G7-E24</f>
        <v>2601.3454478707854</v>
      </c>
      <c r="G24" s="8"/>
      <c r="H24" s="9">
        <f>J7</f>
        <v>4.7000000000000171</v>
      </c>
      <c r="I24" s="6" t="e">
        <f>H24*100/H33</f>
        <v>#DIV/0!</v>
      </c>
      <c r="J24" s="6" t="e">
        <f>I24*H15/100</f>
        <v>#DIV/0!</v>
      </c>
      <c r="K24" s="14" t="e">
        <f>L7-J24</f>
        <v>#DIV/0!</v>
      </c>
      <c r="L24" s="8"/>
      <c r="M24" s="9">
        <f>O7</f>
        <v>-200.8</v>
      </c>
      <c r="N24" s="6" t="e">
        <f>M24*100/M33</f>
        <v>#DIV/0!</v>
      </c>
      <c r="O24" s="6" t="e">
        <f>N24*M15/100</f>
        <v>#DIV/0!</v>
      </c>
      <c r="P24" s="14" t="e">
        <f>Q7-O24</f>
        <v>#DIV/0!</v>
      </c>
      <c r="Q24" s="8"/>
      <c r="R24" s="9">
        <f>T7</f>
        <v>0</v>
      </c>
      <c r="S24" s="6" t="e">
        <f>R24*100/R33</f>
        <v>#DIV/0!</v>
      </c>
      <c r="T24" s="6" t="e">
        <f>S24*R15/100</f>
        <v>#DIV/0!</v>
      </c>
      <c r="U24" s="14" t="e">
        <f>V7-T24</f>
        <v>#DIV/0!</v>
      </c>
      <c r="V24" s="8"/>
      <c r="W24" s="9">
        <f>Y7</f>
        <v>0</v>
      </c>
      <c r="X24" s="6" t="e">
        <f>W24*100/W33</f>
        <v>#DIV/0!</v>
      </c>
      <c r="Y24" s="6" t="e">
        <f>X24*W15/100</f>
        <v>#DIV/0!</v>
      </c>
      <c r="Z24" s="14" t="e">
        <f>AA7-Y24</f>
        <v>#DIV/0!</v>
      </c>
      <c r="AA24" s="8"/>
      <c r="AB24" s="9">
        <f>AD7</f>
        <v>0</v>
      </c>
      <c r="AC24" s="6" t="e">
        <f>AB24*100/AB33</f>
        <v>#DIV/0!</v>
      </c>
      <c r="AD24" s="6" t="e">
        <f>AC24*AB15/100</f>
        <v>#DIV/0!</v>
      </c>
      <c r="AE24" s="14" t="e">
        <f>AF7-AD24</f>
        <v>#DIV/0!</v>
      </c>
      <c r="AF24" s="8"/>
      <c r="AG24" s="8"/>
      <c r="AH24" s="8"/>
      <c r="AI24" s="20"/>
    </row>
    <row r="25" spans="1:35">
      <c r="A25" s="8"/>
      <c r="B25" s="9" t="s">
        <v>15</v>
      </c>
      <c r="C25" s="6">
        <f>E8</f>
        <v>3.7999999999999545</v>
      </c>
      <c r="D25" s="6">
        <f>C25*100/C33</f>
        <v>0.94999999999998863</v>
      </c>
      <c r="E25" s="6">
        <f>D25*C15/100</f>
        <v>332.49999999999602</v>
      </c>
      <c r="F25" s="14">
        <f>G8-E25</f>
        <v>1620.5102790014548</v>
      </c>
      <c r="G25" s="8"/>
      <c r="H25" s="9">
        <f>J8</f>
        <v>7.4000000000000909</v>
      </c>
      <c r="I25" s="6" t="e">
        <f>H25*100/H33</f>
        <v>#DIV/0!</v>
      </c>
      <c r="J25" s="6" t="e">
        <f>I25*H15/100</f>
        <v>#DIV/0!</v>
      </c>
      <c r="K25" s="14" t="e">
        <f>L8-J25</f>
        <v>#DIV/0!</v>
      </c>
      <c r="L25" s="8"/>
      <c r="M25" s="9">
        <f>O8</f>
        <v>-1233.2</v>
      </c>
      <c r="N25" s="6" t="e">
        <f>M25*100/M33</f>
        <v>#DIV/0!</v>
      </c>
      <c r="O25" s="6" t="e">
        <f>N25*M15/100</f>
        <v>#DIV/0!</v>
      </c>
      <c r="P25" s="14" t="e">
        <f>Q8-O25</f>
        <v>#DIV/0!</v>
      </c>
      <c r="Q25" s="8"/>
      <c r="R25" s="9">
        <f>T8</f>
        <v>0</v>
      </c>
      <c r="S25" s="6" t="e">
        <f>R25*100/R33</f>
        <v>#DIV/0!</v>
      </c>
      <c r="T25" s="6" t="e">
        <f>S25*R15/100</f>
        <v>#DIV/0!</v>
      </c>
      <c r="U25" s="14" t="e">
        <f>V8-T25</f>
        <v>#DIV/0!</v>
      </c>
      <c r="V25" s="8"/>
      <c r="W25" s="9">
        <f>Y8</f>
        <v>0</v>
      </c>
      <c r="X25" s="6" t="e">
        <f>W25*100/W33</f>
        <v>#DIV/0!</v>
      </c>
      <c r="Y25" s="6" t="e">
        <f>X25*W15/100</f>
        <v>#DIV/0!</v>
      </c>
      <c r="Z25" s="14" t="e">
        <f>AA8-Y25</f>
        <v>#DIV/0!</v>
      </c>
      <c r="AA25" s="8"/>
      <c r="AB25" s="9">
        <f>AD8</f>
        <v>0</v>
      </c>
      <c r="AC25" s="6" t="e">
        <f>AB25*100/AB33</f>
        <v>#DIV/0!</v>
      </c>
      <c r="AD25" s="6" t="e">
        <f>AC25*AB15/100</f>
        <v>#DIV/0!</v>
      </c>
      <c r="AE25" s="14" t="e">
        <f>AF8-AD25</f>
        <v>#DIV/0!</v>
      </c>
      <c r="AF25" s="8"/>
      <c r="AG25" s="8"/>
      <c r="AH25" s="8"/>
      <c r="AI25" s="20"/>
    </row>
    <row r="26" spans="1:35">
      <c r="A26" s="8"/>
      <c r="B26" s="9" t="s">
        <v>16</v>
      </c>
      <c r="C26" s="6" t="e">
        <f>#REF!</f>
        <v>#REF!</v>
      </c>
      <c r="D26" s="6" t="e">
        <f>C26*100/C33</f>
        <v>#REF!</v>
      </c>
      <c r="E26" s="6" t="e">
        <f>D26*C15/100</f>
        <v>#REF!</v>
      </c>
      <c r="F26" s="14" t="e">
        <f>#REF!-E26</f>
        <v>#REF!</v>
      </c>
      <c r="G26" s="8"/>
      <c r="H26" s="9" t="e">
        <f>#REF!</f>
        <v>#REF!</v>
      </c>
      <c r="I26" s="6" t="e">
        <f>H26*100/H33</f>
        <v>#REF!</v>
      </c>
      <c r="J26" s="6" t="e">
        <f>I26*H15/100</f>
        <v>#REF!</v>
      </c>
      <c r="K26" s="14" t="e">
        <f>#REF!-J26</f>
        <v>#REF!</v>
      </c>
      <c r="L26" s="8"/>
      <c r="M26" s="9" t="e">
        <f>#REF!</f>
        <v>#REF!</v>
      </c>
      <c r="N26" s="6" t="e">
        <f>M26*100/M33</f>
        <v>#REF!</v>
      </c>
      <c r="O26" s="6" t="e">
        <f>N26*M15/100</f>
        <v>#REF!</v>
      </c>
      <c r="P26" s="14" t="e">
        <f>#REF!-O26</f>
        <v>#REF!</v>
      </c>
      <c r="Q26" s="8"/>
      <c r="R26" s="9" t="e">
        <f>#REF!</f>
        <v>#REF!</v>
      </c>
      <c r="S26" s="6" t="e">
        <f>R26*100/R33</f>
        <v>#REF!</v>
      </c>
      <c r="T26" s="6" t="e">
        <f>S26*R15/100</f>
        <v>#REF!</v>
      </c>
      <c r="U26" s="14" t="e">
        <f>#REF!-T26</f>
        <v>#REF!</v>
      </c>
      <c r="V26" s="8"/>
      <c r="W26" s="9" t="e">
        <f>#REF!</f>
        <v>#REF!</v>
      </c>
      <c r="X26" s="6" t="e">
        <f>W26*100/W33</f>
        <v>#REF!</v>
      </c>
      <c r="Y26" s="6" t="e">
        <f>X26*W15/100</f>
        <v>#REF!</v>
      </c>
      <c r="Z26" s="14" t="e">
        <f>#REF!-Y26</f>
        <v>#REF!</v>
      </c>
      <c r="AA26" s="8"/>
      <c r="AB26" s="9" t="e">
        <f>#REF!</f>
        <v>#REF!</v>
      </c>
      <c r="AC26" s="6" t="e">
        <f>AB26*100/AB33</f>
        <v>#REF!</v>
      </c>
      <c r="AD26" s="6" t="e">
        <f>AC26*AB15/100</f>
        <v>#REF!</v>
      </c>
      <c r="AE26" s="14" t="e">
        <f>#REF!-AD26</f>
        <v>#REF!</v>
      </c>
      <c r="AF26" s="8"/>
      <c r="AG26" s="8"/>
      <c r="AH26" s="8"/>
      <c r="AI26" s="20"/>
    </row>
    <row r="27" spans="1:35">
      <c r="A27" s="8"/>
      <c r="B27" s="9" t="s">
        <v>24</v>
      </c>
      <c r="C27" s="6" t="e">
        <f>#REF!</f>
        <v>#REF!</v>
      </c>
      <c r="D27" s="6" t="e">
        <f>C27*100/C33</f>
        <v>#REF!</v>
      </c>
      <c r="E27" s="6" t="e">
        <f>D27*C15/100</f>
        <v>#REF!</v>
      </c>
      <c r="F27" s="14" t="e">
        <f>#REF!-E27</f>
        <v>#REF!</v>
      </c>
      <c r="G27" s="8"/>
      <c r="H27" s="9" t="e">
        <f>#REF!</f>
        <v>#REF!</v>
      </c>
      <c r="I27" s="6" t="e">
        <f>H27*100/H33</f>
        <v>#REF!</v>
      </c>
      <c r="J27" s="6" t="e">
        <f>I27*H15/100</f>
        <v>#REF!</v>
      </c>
      <c r="K27" s="14" t="e">
        <f>#REF!-J27</f>
        <v>#REF!</v>
      </c>
      <c r="L27" s="8"/>
      <c r="M27" s="9" t="e">
        <f>#REF!</f>
        <v>#REF!</v>
      </c>
      <c r="N27" s="6" t="e">
        <f>M27*100/M33</f>
        <v>#REF!</v>
      </c>
      <c r="O27" s="6" t="e">
        <f>N27*M15/100</f>
        <v>#REF!</v>
      </c>
      <c r="P27" s="14" t="e">
        <f>#REF!-O27</f>
        <v>#REF!</v>
      </c>
      <c r="Q27" s="8"/>
      <c r="R27" s="9" t="e">
        <f>#REF!</f>
        <v>#REF!</v>
      </c>
      <c r="S27" s="6" t="e">
        <f>R27*100/R33</f>
        <v>#REF!</v>
      </c>
      <c r="T27" s="6" t="e">
        <f>S27*R15/100</f>
        <v>#REF!</v>
      </c>
      <c r="U27" s="14" t="e">
        <f>#REF!-T27</f>
        <v>#REF!</v>
      </c>
      <c r="V27" s="8"/>
      <c r="W27" s="9" t="e">
        <f>#REF!</f>
        <v>#REF!</v>
      </c>
      <c r="X27" s="6" t="e">
        <f>W27*100/W33</f>
        <v>#REF!</v>
      </c>
      <c r="Y27" s="6" t="e">
        <f>X27*W15/100</f>
        <v>#REF!</v>
      </c>
      <c r="Z27" s="14" t="e">
        <f>#REF!-Y27</f>
        <v>#REF!</v>
      </c>
      <c r="AA27" s="8"/>
      <c r="AB27" s="9" t="e">
        <f>#REF!</f>
        <v>#REF!</v>
      </c>
      <c r="AC27" s="6" t="e">
        <f>AB27*100/AB33</f>
        <v>#REF!</v>
      </c>
      <c r="AD27" s="6" t="e">
        <f>AC27*AB15/100</f>
        <v>#REF!</v>
      </c>
      <c r="AE27" s="14" t="e">
        <f>#REF!-AD27</f>
        <v>#REF!</v>
      </c>
      <c r="AF27" s="8"/>
      <c r="AG27" s="8"/>
      <c r="AH27" s="8"/>
      <c r="AI27" s="20"/>
    </row>
    <row r="28" spans="1:35">
      <c r="A28" s="8"/>
      <c r="B28" s="9" t="s">
        <v>17</v>
      </c>
      <c r="C28" s="6" t="e">
        <f>#REF!</f>
        <v>#REF!</v>
      </c>
      <c r="D28" s="6" t="e">
        <f>C28*100/C33</f>
        <v>#REF!</v>
      </c>
      <c r="E28" s="6" t="e">
        <f>D28*C15/100</f>
        <v>#REF!</v>
      </c>
      <c r="F28" s="14" t="e">
        <f>#REF!-E28</f>
        <v>#REF!</v>
      </c>
      <c r="G28" s="8"/>
      <c r="H28" s="9" t="e">
        <f>#REF!</f>
        <v>#REF!</v>
      </c>
      <c r="I28" s="6" t="e">
        <f>H28*100/H33</f>
        <v>#REF!</v>
      </c>
      <c r="J28" s="6" t="e">
        <f>I28*H15/100</f>
        <v>#REF!</v>
      </c>
      <c r="K28" s="14" t="e">
        <f>#REF!-J28</f>
        <v>#REF!</v>
      </c>
      <c r="L28" s="8"/>
      <c r="M28" s="9" t="e">
        <f>#REF!</f>
        <v>#REF!</v>
      </c>
      <c r="N28" s="6" t="e">
        <f>M28*100/M33</f>
        <v>#REF!</v>
      </c>
      <c r="O28" s="6" t="e">
        <f>N28*M15/100</f>
        <v>#REF!</v>
      </c>
      <c r="P28" s="14" t="e">
        <f>#REF!-O28</f>
        <v>#REF!</v>
      </c>
      <c r="Q28" s="8"/>
      <c r="R28" s="9" t="e">
        <f>#REF!</f>
        <v>#REF!</v>
      </c>
      <c r="S28" s="6" t="e">
        <f>R28*100/R33</f>
        <v>#REF!</v>
      </c>
      <c r="T28" s="6" t="e">
        <f>S28*R15/100</f>
        <v>#REF!</v>
      </c>
      <c r="U28" s="14" t="e">
        <f>#REF!-T28</f>
        <v>#REF!</v>
      </c>
      <c r="V28" s="8"/>
      <c r="W28" s="9" t="e">
        <f>#REF!</f>
        <v>#REF!</v>
      </c>
      <c r="X28" s="6" t="e">
        <f>W28*100/W33</f>
        <v>#REF!</v>
      </c>
      <c r="Y28" s="6" t="e">
        <f>X28*W15/100</f>
        <v>#REF!</v>
      </c>
      <c r="Z28" s="14" t="e">
        <f>#REF!-Y28</f>
        <v>#REF!</v>
      </c>
      <c r="AA28" s="8"/>
      <c r="AB28" s="9" t="e">
        <f>#REF!</f>
        <v>#REF!</v>
      </c>
      <c r="AC28" s="6" t="e">
        <f>AB28*100/AB33</f>
        <v>#REF!</v>
      </c>
      <c r="AD28" s="6" t="e">
        <f>AC28*AB15/100</f>
        <v>#REF!</v>
      </c>
      <c r="AE28" s="14" t="e">
        <f>#REF!-AD28</f>
        <v>#REF!</v>
      </c>
      <c r="AF28" s="8"/>
      <c r="AG28" s="8"/>
      <c r="AH28" s="8"/>
      <c r="AI28" s="20"/>
    </row>
    <row r="29" spans="1:35">
      <c r="A29" s="8"/>
      <c r="B29" s="9" t="s">
        <v>25</v>
      </c>
      <c r="C29" s="6" t="e">
        <f>#REF!</f>
        <v>#REF!</v>
      </c>
      <c r="D29" s="6" t="e">
        <f>C29*100/C33</f>
        <v>#REF!</v>
      </c>
      <c r="E29" s="6" t="e">
        <f>D29*C15/100</f>
        <v>#REF!</v>
      </c>
      <c r="F29" s="14" t="e">
        <f>#REF!-E29</f>
        <v>#REF!</v>
      </c>
      <c r="G29" s="8"/>
      <c r="H29" s="9" t="e">
        <f>#REF!</f>
        <v>#REF!</v>
      </c>
      <c r="I29" s="6" t="e">
        <f>H29*100/H33</f>
        <v>#REF!</v>
      </c>
      <c r="J29" s="6" t="e">
        <f>I29*H15/100</f>
        <v>#REF!</v>
      </c>
      <c r="K29" s="14" t="e">
        <f>#REF!-J29</f>
        <v>#REF!</v>
      </c>
      <c r="L29" s="8"/>
      <c r="M29" s="9" t="e">
        <f>#REF!</f>
        <v>#REF!</v>
      </c>
      <c r="N29" s="6" t="e">
        <f>M29*100/M33</f>
        <v>#REF!</v>
      </c>
      <c r="O29" s="6" t="e">
        <f>N29*M15/100</f>
        <v>#REF!</v>
      </c>
      <c r="P29" s="14" t="e">
        <f>#REF!-O29</f>
        <v>#REF!</v>
      </c>
      <c r="Q29" s="8"/>
      <c r="R29" s="9" t="e">
        <f>#REF!</f>
        <v>#REF!</v>
      </c>
      <c r="S29" s="6" t="e">
        <f>R29*100/R33</f>
        <v>#REF!</v>
      </c>
      <c r="T29" s="6" t="e">
        <f>S29*R15/100</f>
        <v>#REF!</v>
      </c>
      <c r="U29" s="14" t="e">
        <f>#REF!-T29</f>
        <v>#REF!</v>
      </c>
      <c r="V29" s="8"/>
      <c r="W29" s="9" t="e">
        <f>#REF!</f>
        <v>#REF!</v>
      </c>
      <c r="X29" s="6" t="e">
        <f>W29*100/W33</f>
        <v>#REF!</v>
      </c>
      <c r="Y29" s="6" t="e">
        <f>X29*W15/100</f>
        <v>#REF!</v>
      </c>
      <c r="Z29" s="14" t="e">
        <f>#REF!-Y29</f>
        <v>#REF!</v>
      </c>
      <c r="AA29" s="8"/>
      <c r="AB29" s="9" t="e">
        <f>#REF!</f>
        <v>#REF!</v>
      </c>
      <c r="AC29" s="6" t="e">
        <f>AB29*100/AB33</f>
        <v>#REF!</v>
      </c>
      <c r="AD29" s="6" t="e">
        <f>AC29*AB15/100</f>
        <v>#REF!</v>
      </c>
      <c r="AE29" s="14" t="e">
        <f>#REF!-AD29</f>
        <v>#REF!</v>
      </c>
      <c r="AF29" s="8"/>
      <c r="AG29" s="8"/>
      <c r="AH29" s="8"/>
      <c r="AI29" s="20"/>
    </row>
    <row r="30" spans="1:35">
      <c r="A30" s="8"/>
      <c r="B30" s="9" t="s">
        <v>26</v>
      </c>
      <c r="C30" s="6">
        <f>E10</f>
        <v>0.29999999999995453</v>
      </c>
      <c r="D30" s="6">
        <f>C30*100/C33</f>
        <v>7.4999999999988631E-2</v>
      </c>
      <c r="E30" s="6">
        <f>D30*C15/100</f>
        <v>26.249999999996021</v>
      </c>
      <c r="F30" s="14">
        <f>G10-E30</f>
        <v>127.93502202641278</v>
      </c>
      <c r="G30" s="8"/>
      <c r="H30" s="9">
        <f>J10</f>
        <v>23.800000000000068</v>
      </c>
      <c r="I30" s="6" t="e">
        <f>H30*100/H33</f>
        <v>#DIV/0!</v>
      </c>
      <c r="J30" s="6" t="e">
        <f>I30*H15/100</f>
        <v>#DIV/0!</v>
      </c>
      <c r="K30" s="14" t="e">
        <f>L10-J30</f>
        <v>#DIV/0!</v>
      </c>
      <c r="L30" s="8"/>
      <c r="M30" s="9">
        <f>O10</f>
        <v>-818.1</v>
      </c>
      <c r="N30" s="6" t="e">
        <f>M30*100/M33</f>
        <v>#DIV/0!</v>
      </c>
      <c r="O30" s="6" t="e">
        <f>N30*M15/100</f>
        <v>#DIV/0!</v>
      </c>
      <c r="P30" s="14" t="e">
        <f>Q10-O30</f>
        <v>#DIV/0!</v>
      </c>
      <c r="Q30" s="8"/>
      <c r="R30" s="9">
        <f>T10</f>
        <v>0</v>
      </c>
      <c r="S30" s="6" t="e">
        <f>R30*100/R33</f>
        <v>#DIV/0!</v>
      </c>
      <c r="T30" s="6" t="e">
        <f>S30*R15/100</f>
        <v>#DIV/0!</v>
      </c>
      <c r="U30" s="14" t="e">
        <f>V10-T30</f>
        <v>#DIV/0!</v>
      </c>
      <c r="V30" s="8"/>
      <c r="W30" s="9">
        <f>Y10</f>
        <v>0</v>
      </c>
      <c r="X30" s="6" t="e">
        <f>W30*100/W33</f>
        <v>#DIV/0!</v>
      </c>
      <c r="Y30" s="6" t="e">
        <f>X30*W15/100</f>
        <v>#DIV/0!</v>
      </c>
      <c r="Z30" s="14" t="e">
        <f>AA10-Y30</f>
        <v>#DIV/0!</v>
      </c>
      <c r="AA30" s="8"/>
      <c r="AB30" s="9">
        <f>AD10</f>
        <v>0</v>
      </c>
      <c r="AC30" s="6" t="e">
        <f>AB30*100/AB33</f>
        <v>#DIV/0!</v>
      </c>
      <c r="AD30" s="6" t="e">
        <f>AC30*AB15/100</f>
        <v>#DIV/0!</v>
      </c>
      <c r="AE30" s="14" t="e">
        <f>AF10-AD30</f>
        <v>#DIV/0!</v>
      </c>
      <c r="AF30" s="8"/>
      <c r="AG30" s="8"/>
      <c r="AH30" s="8"/>
      <c r="AI30" s="20"/>
    </row>
    <row r="31" spans="1:35">
      <c r="A31" s="8"/>
      <c r="B31" s="9" t="s">
        <v>18</v>
      </c>
      <c r="C31" s="6">
        <f>E11</f>
        <v>14.099999999999909</v>
      </c>
      <c r="D31" s="6">
        <f>C31*100/C33</f>
        <v>3.5249999999999773</v>
      </c>
      <c r="E31" s="6">
        <f>D31*C15/100</f>
        <v>1233.749999999992</v>
      </c>
      <c r="F31" s="14">
        <f>G11-E31</f>
        <v>6012.9460352422739</v>
      </c>
      <c r="G31" s="8"/>
      <c r="H31" s="9">
        <f>J11</f>
        <v>12.600000000000023</v>
      </c>
      <c r="I31" s="6" t="e">
        <f>H31*100/H33</f>
        <v>#DIV/0!</v>
      </c>
      <c r="J31" s="6" t="e">
        <f>I31*H15/100</f>
        <v>#DIV/0!</v>
      </c>
      <c r="K31" s="14" t="e">
        <f>L11-J31</f>
        <v>#DIV/0!</v>
      </c>
      <c r="L31" s="8"/>
      <c r="M31" s="9">
        <f>O11</f>
        <v>-839.9</v>
      </c>
      <c r="N31" s="6" t="e">
        <f>M31*100/M33</f>
        <v>#DIV/0!</v>
      </c>
      <c r="O31" s="6" t="e">
        <f>N31*M15/100</f>
        <v>#DIV/0!</v>
      </c>
      <c r="P31" s="14" t="e">
        <f>Q11-O31</f>
        <v>#DIV/0!</v>
      </c>
      <c r="Q31" s="8"/>
      <c r="R31" s="9">
        <f>T11</f>
        <v>0</v>
      </c>
      <c r="S31" s="6" t="e">
        <f>R31*100/R33</f>
        <v>#DIV/0!</v>
      </c>
      <c r="T31" s="6" t="e">
        <f>S31*R15/100</f>
        <v>#DIV/0!</v>
      </c>
      <c r="U31" s="14" t="e">
        <f>V11-T31</f>
        <v>#DIV/0!</v>
      </c>
      <c r="V31" s="8"/>
      <c r="W31" s="9">
        <f>Y11</f>
        <v>0</v>
      </c>
      <c r="X31" s="6" t="e">
        <f>W31*100/W33</f>
        <v>#DIV/0!</v>
      </c>
      <c r="Y31" s="6" t="e">
        <f>X31*W15/100</f>
        <v>#DIV/0!</v>
      </c>
      <c r="Z31" s="14" t="e">
        <f>AA11-Y31</f>
        <v>#DIV/0!</v>
      </c>
      <c r="AA31" s="8"/>
      <c r="AB31" s="9">
        <f>AD11</f>
        <v>0</v>
      </c>
      <c r="AC31" s="6" t="e">
        <f>AB31*100/AB33</f>
        <v>#DIV/0!</v>
      </c>
      <c r="AD31" s="6" t="e">
        <f>AC31*AB15/100</f>
        <v>#DIV/0!</v>
      </c>
      <c r="AE31" s="14" t="e">
        <f>AF11-AD31</f>
        <v>#DIV/0!</v>
      </c>
      <c r="AF31" s="8"/>
      <c r="AG31" s="8"/>
      <c r="AH31" s="8"/>
      <c r="AI31" s="20"/>
    </row>
    <row r="32" spans="1:35">
      <c r="A32" s="8"/>
      <c r="B32" s="9" t="s">
        <v>19</v>
      </c>
      <c r="C32" s="6">
        <f t="shared" ref="C32" si="12">E13</f>
        <v>32</v>
      </c>
      <c r="D32" s="6">
        <f>C32*100/C33</f>
        <v>8</v>
      </c>
      <c r="E32" s="6">
        <f>D32*C15/100</f>
        <v>2800</v>
      </c>
      <c r="F32" s="14">
        <f t="shared" ref="F32" si="13">G13-E32</f>
        <v>13646.402349486096</v>
      </c>
      <c r="G32" s="8"/>
      <c r="H32" s="9">
        <f t="shared" ref="H32" si="14">J13</f>
        <v>51</v>
      </c>
      <c r="I32" s="6" t="e">
        <f>H32*100/H33</f>
        <v>#DIV/0!</v>
      </c>
      <c r="J32" s="6" t="e">
        <f>I32*H15/100</f>
        <v>#DIV/0!</v>
      </c>
      <c r="K32" s="14" t="e">
        <f t="shared" ref="K32" si="15">L13-J32</f>
        <v>#DIV/0!</v>
      </c>
      <c r="L32" s="8"/>
      <c r="M32" s="9">
        <f t="shared" ref="M32" si="16">O13</f>
        <v>-574</v>
      </c>
      <c r="N32" s="6" t="e">
        <f>M32*100/M33</f>
        <v>#DIV/0!</v>
      </c>
      <c r="O32" s="6" t="e">
        <f>N32*M15/100</f>
        <v>#DIV/0!</v>
      </c>
      <c r="P32" s="14" t="e">
        <f t="shared" ref="P32" si="17">Q13-O32</f>
        <v>#DIV/0!</v>
      </c>
      <c r="Q32" s="8"/>
      <c r="R32" s="9">
        <f t="shared" ref="R32" si="18">T13</f>
        <v>0</v>
      </c>
      <c r="S32" s="6" t="e">
        <f>R32*100/R33</f>
        <v>#DIV/0!</v>
      </c>
      <c r="T32" s="6" t="e">
        <f>S32*R15/100</f>
        <v>#DIV/0!</v>
      </c>
      <c r="U32" s="14" t="e">
        <f t="shared" ref="U32" si="19">V13-T32</f>
        <v>#DIV/0!</v>
      </c>
      <c r="V32" s="8"/>
      <c r="W32" s="9">
        <f t="shared" ref="W32" si="20">Y13</f>
        <v>0</v>
      </c>
      <c r="X32" s="6" t="e">
        <f>W32*100/W33</f>
        <v>#DIV/0!</v>
      </c>
      <c r="Y32" s="6" t="e">
        <f>X32*W15/100</f>
        <v>#DIV/0!</v>
      </c>
      <c r="Z32" s="14" t="e">
        <f t="shared" ref="Z32" si="21">AA13-Y32</f>
        <v>#DIV/0!</v>
      </c>
      <c r="AA32" s="8"/>
      <c r="AB32" s="9">
        <f t="shared" ref="AB32" si="22">AD13</f>
        <v>0</v>
      </c>
      <c r="AC32" s="6" t="e">
        <f>AB32*100/AB33</f>
        <v>#DIV/0!</v>
      </c>
      <c r="AD32" s="6" t="e">
        <f>AC32*AB15/100</f>
        <v>#DIV/0!</v>
      </c>
      <c r="AE32" s="14" t="e">
        <f t="shared" ref="AE32" si="23">AF13-AD32</f>
        <v>#DIV/0!</v>
      </c>
      <c r="AF32" s="8"/>
      <c r="AG32" s="8"/>
      <c r="AH32" s="8"/>
      <c r="AI32" s="20"/>
    </row>
    <row r="33" spans="1:35" ht="31.5" customHeight="1">
      <c r="A33" s="8"/>
      <c r="B33" s="15" t="s">
        <v>27</v>
      </c>
      <c r="C33" s="16">
        <v>400</v>
      </c>
      <c r="D33" s="10" t="e">
        <f>SUM(D23:D32)</f>
        <v>#REF!</v>
      </c>
      <c r="E33" s="10" t="e">
        <f>SUM(E23:E32)</f>
        <v>#REF!</v>
      </c>
      <c r="F33" s="17" t="e">
        <f>SUM(F23:F32)</f>
        <v>#REF!</v>
      </c>
      <c r="G33" s="8"/>
      <c r="H33" s="18"/>
      <c r="I33" s="10" t="e">
        <f>SUM(I23:I32)</f>
        <v>#DIV/0!</v>
      </c>
      <c r="J33" s="10" t="e">
        <f>SUM(J23:J32)</f>
        <v>#DIV/0!</v>
      </c>
      <c r="K33" s="17" t="e">
        <f>SUM(K23:K32)</f>
        <v>#DIV/0!</v>
      </c>
      <c r="L33" s="8"/>
      <c r="M33" s="18"/>
      <c r="N33" s="10" t="e">
        <f>SUM(N23:N32)</f>
        <v>#DIV/0!</v>
      </c>
      <c r="O33" s="10" t="e">
        <f>SUM(O23:O32)</f>
        <v>#DIV/0!</v>
      </c>
      <c r="P33" s="17" t="e">
        <f>SUM(P23:P32)</f>
        <v>#DIV/0!</v>
      </c>
      <c r="Q33" s="8"/>
      <c r="R33" s="18"/>
      <c r="S33" s="10" t="e">
        <f>SUM(S23:S32)</f>
        <v>#DIV/0!</v>
      </c>
      <c r="T33" s="10" t="e">
        <f>SUM(T23:T32)</f>
        <v>#DIV/0!</v>
      </c>
      <c r="U33" s="17" t="e">
        <f>SUM(U23:U32)</f>
        <v>#DIV/0!</v>
      </c>
      <c r="V33" s="8"/>
      <c r="W33" s="18"/>
      <c r="X33" s="10" t="e">
        <f>SUM(X23:X32)</f>
        <v>#DIV/0!</v>
      </c>
      <c r="Y33" s="10" t="e">
        <f>SUM(Y23:Y32)</f>
        <v>#DIV/0!</v>
      </c>
      <c r="Z33" s="17" t="e">
        <f>SUM(Z23:Z32)</f>
        <v>#DIV/0!</v>
      </c>
      <c r="AA33" s="8"/>
      <c r="AB33" s="18"/>
      <c r="AC33" s="10" t="e">
        <f>SUM(AC23:AC32)</f>
        <v>#DIV/0!</v>
      </c>
      <c r="AD33" s="10" t="e">
        <f>SUM(AD23:AD32)</f>
        <v>#DIV/0!</v>
      </c>
      <c r="AE33" s="17" t="e">
        <f>SUM(AE23:AE32)</f>
        <v>#DIV/0!</v>
      </c>
      <c r="AF33" s="8"/>
      <c r="AG33" s="8"/>
      <c r="AH33" s="8"/>
      <c r="AI33" s="20"/>
    </row>
    <row r="34" spans="1: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20"/>
    </row>
    <row r="35" spans="1:35">
      <c r="A35" s="8"/>
      <c r="B35" s="25" t="s">
        <v>28</v>
      </c>
      <c r="C35" s="29">
        <f>100-(E14*100/C33)</f>
        <v>82.975000000000051</v>
      </c>
      <c r="D35" s="8"/>
      <c r="E35" s="8"/>
      <c r="F35" s="8"/>
      <c r="G35" s="8"/>
      <c r="H35" s="29" t="e">
        <f>100-(J14*100/H33)</f>
        <v>#DIV/0!</v>
      </c>
      <c r="I35" s="8"/>
      <c r="J35" s="8"/>
      <c r="K35" s="8"/>
      <c r="L35" s="8"/>
      <c r="M35" s="29" t="e">
        <f>100-(O14*100/M33)</f>
        <v>#DIV/0!</v>
      </c>
      <c r="N35" s="8"/>
      <c r="O35" s="8"/>
      <c r="P35" s="8"/>
      <c r="Q35" s="8"/>
      <c r="R35" s="29" t="e">
        <f>100-(T14*100/R33)</f>
        <v>#DIV/0!</v>
      </c>
      <c r="S35" s="8"/>
      <c r="T35" s="8"/>
      <c r="U35" s="8"/>
      <c r="V35" s="8"/>
      <c r="W35" s="29" t="e">
        <f>100-(Y14*100/W33)</f>
        <v>#DIV/0!</v>
      </c>
      <c r="X35" s="8"/>
      <c r="Y35" s="8"/>
      <c r="Z35" s="8"/>
      <c r="AA35" s="8"/>
      <c r="AB35" s="29" t="e">
        <f>AE37=100-(AD14*100/AB33)</f>
        <v>#DIV/0!</v>
      </c>
      <c r="AC35" s="8"/>
      <c r="AD35" s="8"/>
      <c r="AE35" s="8"/>
      <c r="AF35" s="8"/>
      <c r="AG35" s="8"/>
      <c r="AH35" s="8"/>
      <c r="AI35" s="20"/>
    </row>
    <row r="36" spans="1:35">
      <c r="A36" s="8"/>
      <c r="B36" s="26"/>
      <c r="C36" s="29"/>
      <c r="D36" s="8"/>
      <c r="E36" s="8"/>
      <c r="F36" s="8"/>
      <c r="G36" s="8"/>
      <c r="H36" s="29"/>
      <c r="I36" s="8"/>
      <c r="J36" s="8"/>
      <c r="K36" s="8"/>
      <c r="L36" s="8"/>
      <c r="M36" s="29"/>
      <c r="N36" s="8"/>
      <c r="O36" s="8"/>
      <c r="P36" s="8"/>
      <c r="Q36" s="8"/>
      <c r="R36" s="29"/>
      <c r="S36" s="8"/>
      <c r="T36" s="8"/>
      <c r="U36" s="8"/>
      <c r="V36" s="8"/>
      <c r="W36" s="29"/>
      <c r="X36" s="8"/>
      <c r="Y36" s="8"/>
      <c r="Z36" s="8"/>
      <c r="AA36" s="8"/>
      <c r="AB36" s="29"/>
      <c r="AC36" s="8"/>
      <c r="AD36" s="8"/>
      <c r="AE36" s="8"/>
      <c r="AF36" s="8"/>
      <c r="AG36" s="8"/>
      <c r="AH36" s="8"/>
      <c r="AI36" s="20"/>
    </row>
    <row r="37" spans="1:35">
      <c r="A37" s="1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20"/>
    </row>
    <row r="38" spans="1:3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5">
      <c r="B39" s="4" t="s">
        <v>29</v>
      </c>
      <c r="C39" s="4" t="e">
        <f>F6+K6+O6+U6+Z6+AE6</f>
        <v>#DIV/0!</v>
      </c>
      <c r="D39" s="4" t="e">
        <f>C39/7</f>
        <v>#DIV/0!</v>
      </c>
      <c r="E39" s="4" t="s">
        <v>22</v>
      </c>
    </row>
    <row r="40" spans="1:35">
      <c r="B40" s="4" t="s">
        <v>30</v>
      </c>
      <c r="C40" s="4" t="e">
        <f>F7+K7+O7+U7+Z7+AE7</f>
        <v>#DIV/0!</v>
      </c>
      <c r="D40" s="4" t="e">
        <f t="shared" ref="D40:D46" si="24">C40/7</f>
        <v>#DIV/0!</v>
      </c>
      <c r="E40" s="4" t="e">
        <f t="shared" ref="E40:E47" si="25">D40</f>
        <v>#DIV/0!</v>
      </c>
    </row>
    <row r="41" spans="1:35">
      <c r="B41" s="4" t="s">
        <v>31</v>
      </c>
      <c r="C41" s="4" t="e">
        <f>F8+K8+O8+U8+Z8+AE8</f>
        <v>#DIV/0!</v>
      </c>
      <c r="D41" s="4" t="e">
        <f t="shared" si="24"/>
        <v>#DIV/0!</v>
      </c>
      <c r="E41" s="4" t="e">
        <f t="shared" si="25"/>
        <v>#DIV/0!</v>
      </c>
    </row>
    <row r="42" spans="1:35">
      <c r="B42" s="4" t="s">
        <v>32</v>
      </c>
      <c r="C42" s="4" t="e">
        <f>#REF!+#REF!+#REF!+#REF!+#REF!+#REF!</f>
        <v>#REF!</v>
      </c>
      <c r="D42" s="4" t="e">
        <f t="shared" si="24"/>
        <v>#REF!</v>
      </c>
      <c r="E42" s="4" t="e">
        <f t="shared" si="25"/>
        <v>#REF!</v>
      </c>
    </row>
    <row r="43" spans="1:35">
      <c r="B43" s="4" t="s">
        <v>33</v>
      </c>
      <c r="C43" s="4" t="e">
        <f>#REF!+#REF!+#REF!+#REF!+#REF!+#REF!</f>
        <v>#REF!</v>
      </c>
      <c r="D43" s="4" t="e">
        <f t="shared" si="24"/>
        <v>#REF!</v>
      </c>
      <c r="E43" s="4" t="e">
        <f t="shared" si="25"/>
        <v>#REF!</v>
      </c>
    </row>
    <row r="44" spans="1:35">
      <c r="B44" s="4" t="s">
        <v>34</v>
      </c>
      <c r="C44" s="4" t="e">
        <f>F10+K10+O10+U10+Z10+AE10</f>
        <v>#DIV/0!</v>
      </c>
      <c r="D44" s="4" t="e">
        <f t="shared" si="24"/>
        <v>#DIV/0!</v>
      </c>
      <c r="E44" s="4" t="e">
        <f t="shared" si="25"/>
        <v>#DIV/0!</v>
      </c>
    </row>
    <row r="45" spans="1:35">
      <c r="B45" s="4" t="s">
        <v>35</v>
      </c>
      <c r="C45" s="4" t="e">
        <f>F11+K11+O11+U11+Z11+AE11</f>
        <v>#DIV/0!</v>
      </c>
      <c r="D45" s="4" t="e">
        <f t="shared" si="24"/>
        <v>#DIV/0!</v>
      </c>
      <c r="E45" s="4" t="e">
        <f t="shared" si="25"/>
        <v>#DIV/0!</v>
      </c>
    </row>
    <row r="46" spans="1:35">
      <c r="B46" s="4" t="s">
        <v>36</v>
      </c>
      <c r="C46" s="4" t="e">
        <f t="shared" ref="C46" si="26">F13+K13+O13+U13+Z13+AE13</f>
        <v>#DIV/0!</v>
      </c>
      <c r="D46" s="4" t="e">
        <f t="shared" si="24"/>
        <v>#DIV/0!</v>
      </c>
      <c r="E46" s="4" t="e">
        <f t="shared" si="25"/>
        <v>#DIV/0!</v>
      </c>
    </row>
    <row r="47" spans="1:35">
      <c r="D47" s="4" t="e">
        <f>SUM(D39:D46)</f>
        <v>#DIV/0!</v>
      </c>
      <c r="E47" s="4" t="e">
        <f t="shared" si="25"/>
        <v>#DIV/0!</v>
      </c>
    </row>
  </sheetData>
  <mergeCells count="21">
    <mergeCell ref="W15:W16"/>
    <mergeCell ref="W35:W36"/>
    <mergeCell ref="AB15:AB16"/>
    <mergeCell ref="AB35:AB36"/>
    <mergeCell ref="C3:G4"/>
    <mergeCell ref="H3:L4"/>
    <mergeCell ref="M3:Q4"/>
    <mergeCell ref="R3:V4"/>
    <mergeCell ref="W3:AA4"/>
    <mergeCell ref="AB3:AF4"/>
    <mergeCell ref="H15:H16"/>
    <mergeCell ref="H35:H36"/>
    <mergeCell ref="M15:M16"/>
    <mergeCell ref="M35:M36"/>
    <mergeCell ref="R15:R16"/>
    <mergeCell ref="R35:R36"/>
    <mergeCell ref="B3:B4"/>
    <mergeCell ref="B15:B16"/>
    <mergeCell ref="B35:B36"/>
    <mergeCell ref="C15:C16"/>
    <mergeCell ref="C35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8"/>
  <sheetViews>
    <sheetView workbookViewId="0">
      <selection activeCell="H7" sqref="H7"/>
    </sheetView>
  </sheetViews>
  <sheetFormatPr baseColWidth="10" defaultColWidth="10.81640625" defaultRowHeight="14.5"/>
  <cols>
    <col min="2" max="2" width="22.90625" customWidth="1"/>
    <col min="3" max="3" width="16.36328125" customWidth="1"/>
    <col min="4" max="4" width="17.453125" customWidth="1"/>
    <col min="5" max="6" width="17.1796875" customWidth="1"/>
    <col min="7" max="7" width="16.81640625" customWidth="1"/>
  </cols>
  <sheetData>
    <row r="3" spans="2:7">
      <c r="B3" s="33" t="s">
        <v>0</v>
      </c>
      <c r="C3" s="33"/>
      <c r="D3" s="33"/>
      <c r="E3" s="33"/>
      <c r="F3" s="33"/>
      <c r="G3" s="33"/>
    </row>
    <row r="4" spans="2:7">
      <c r="B4" s="33"/>
      <c r="C4" s="33"/>
      <c r="D4" s="33"/>
      <c r="E4" s="33"/>
      <c r="F4" s="33"/>
      <c r="G4" s="33"/>
    </row>
    <row r="5" spans="2:7"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</row>
    <row r="6" spans="2:7">
      <c r="B6" s="6" t="s">
        <v>13</v>
      </c>
      <c r="C6" s="7"/>
      <c r="D6" s="7"/>
      <c r="E6" s="6">
        <f>C6-D6</f>
        <v>0</v>
      </c>
      <c r="F6" s="6" t="e">
        <f>E6*100/E16</f>
        <v>#DIV/0!</v>
      </c>
      <c r="G6" s="6" t="e">
        <f>F6*C17/100</f>
        <v>#DIV/0!</v>
      </c>
    </row>
    <row r="7" spans="2:7">
      <c r="B7" s="6" t="s">
        <v>14</v>
      </c>
      <c r="C7" s="7"/>
      <c r="D7" s="7"/>
      <c r="E7" s="6">
        <f t="shared" ref="E7:E15" si="0">C7-D7</f>
        <v>0</v>
      </c>
      <c r="F7" s="6" t="e">
        <f>E7*100/$E17</f>
        <v>#DIV/0!</v>
      </c>
      <c r="G7" s="6" t="e">
        <f>F7*C17/100</f>
        <v>#DIV/0!</v>
      </c>
    </row>
    <row r="8" spans="2:7">
      <c r="B8" s="6" t="s">
        <v>15</v>
      </c>
      <c r="C8" s="7"/>
      <c r="D8" s="7"/>
      <c r="E8" s="6">
        <f t="shared" si="0"/>
        <v>0</v>
      </c>
      <c r="F8" s="6" t="e">
        <f t="shared" ref="F8:F16" si="1">E8*100/$E18</f>
        <v>#DIV/0!</v>
      </c>
      <c r="G8" s="6" t="e">
        <f>F8*C17/100</f>
        <v>#DIV/0!</v>
      </c>
    </row>
    <row r="9" spans="2:7">
      <c r="B9" s="6" t="s">
        <v>16</v>
      </c>
      <c r="C9" s="7"/>
      <c r="D9" s="7"/>
      <c r="E9" s="6">
        <f t="shared" si="0"/>
        <v>0</v>
      </c>
      <c r="F9" s="6" t="e">
        <f t="shared" si="1"/>
        <v>#DIV/0!</v>
      </c>
      <c r="G9" s="6" t="e">
        <f>F9*C17/100</f>
        <v>#DIV/0!</v>
      </c>
    </row>
    <row r="10" spans="2:7">
      <c r="B10" s="6" t="s">
        <v>24</v>
      </c>
      <c r="C10" s="7"/>
      <c r="D10" s="7"/>
      <c r="E10" s="6">
        <f t="shared" si="0"/>
        <v>0</v>
      </c>
      <c r="F10" s="6" t="e">
        <f t="shared" si="1"/>
        <v>#DIV/0!</v>
      </c>
      <c r="G10" s="6" t="e">
        <f>F10*C17/100</f>
        <v>#DIV/0!</v>
      </c>
    </row>
    <row r="11" spans="2:7">
      <c r="B11" s="6" t="s">
        <v>17</v>
      </c>
      <c r="C11" s="7"/>
      <c r="D11" s="7"/>
      <c r="E11" s="6">
        <f t="shared" si="0"/>
        <v>0</v>
      </c>
      <c r="F11" s="6" t="e">
        <f t="shared" si="1"/>
        <v>#DIV/0!</v>
      </c>
      <c r="G11" s="6" t="e">
        <f>F11*C17/100</f>
        <v>#DIV/0!</v>
      </c>
    </row>
    <row r="12" spans="2:7">
      <c r="B12" s="6" t="s">
        <v>25</v>
      </c>
      <c r="C12" s="7"/>
      <c r="D12" s="7"/>
      <c r="E12" s="6">
        <f t="shared" si="0"/>
        <v>0</v>
      </c>
      <c r="F12" s="6" t="e">
        <f t="shared" si="1"/>
        <v>#DIV/0!</v>
      </c>
      <c r="G12" s="6" t="e">
        <f>F12*C17/100</f>
        <v>#DIV/0!</v>
      </c>
    </row>
    <row r="13" spans="2:7">
      <c r="B13" s="6" t="s">
        <v>26</v>
      </c>
      <c r="C13" s="7"/>
      <c r="D13" s="7"/>
      <c r="E13" s="6">
        <f t="shared" si="0"/>
        <v>0</v>
      </c>
      <c r="F13" s="6" t="e">
        <f t="shared" si="1"/>
        <v>#DIV/0!</v>
      </c>
      <c r="G13" s="6" t="e">
        <f>F13*C17/100</f>
        <v>#DIV/0!</v>
      </c>
    </row>
    <row r="14" spans="2:7">
      <c r="B14" s="6" t="s">
        <v>18</v>
      </c>
      <c r="C14" s="7"/>
      <c r="D14" s="7"/>
      <c r="E14" s="6">
        <f t="shared" si="0"/>
        <v>0</v>
      </c>
      <c r="F14" s="6" t="e">
        <f t="shared" si="1"/>
        <v>#DIV/0!</v>
      </c>
      <c r="G14" s="6" t="e">
        <f>F14*C17/100</f>
        <v>#DIV/0!</v>
      </c>
    </row>
    <row r="15" spans="2:7">
      <c r="B15" s="6" t="s">
        <v>19</v>
      </c>
      <c r="C15" s="7"/>
      <c r="D15" s="7"/>
      <c r="E15" s="6">
        <f t="shared" si="0"/>
        <v>0</v>
      </c>
      <c r="F15" s="6" t="e">
        <f t="shared" si="1"/>
        <v>#DIV/0!</v>
      </c>
      <c r="G15" s="6" t="e">
        <f>F15*C17/100</f>
        <v>#DIV/0!</v>
      </c>
    </row>
    <row r="16" spans="2:7">
      <c r="B16" s="6" t="s">
        <v>20</v>
      </c>
      <c r="C16" s="6">
        <f>SUM(C6:C15)</f>
        <v>0</v>
      </c>
      <c r="D16" s="6">
        <f t="shared" ref="D16:G16" si="2">SUM(D6:D15)</f>
        <v>0</v>
      </c>
      <c r="E16" s="6">
        <f t="shared" si="2"/>
        <v>0</v>
      </c>
      <c r="F16" s="6" t="e">
        <f t="shared" si="1"/>
        <v>#DIV/0!</v>
      </c>
      <c r="G16" s="6" t="e">
        <f t="shared" si="2"/>
        <v>#DIV/0!</v>
      </c>
    </row>
    <row r="17" spans="2:7">
      <c r="B17" s="36" t="s">
        <v>21</v>
      </c>
      <c r="C17" s="37"/>
      <c r="D17" s="4"/>
      <c r="E17" s="4"/>
      <c r="F17" s="4"/>
      <c r="G17" s="4"/>
    </row>
    <row r="18" spans="2:7">
      <c r="B18" s="36"/>
      <c r="C18" s="37"/>
      <c r="D18" s="4"/>
      <c r="E18" s="4"/>
      <c r="F18" s="4"/>
      <c r="G18" s="4"/>
    </row>
  </sheetData>
  <mergeCells count="4">
    <mergeCell ref="B3:B4"/>
    <mergeCell ref="B17:B18"/>
    <mergeCell ref="C17:C18"/>
    <mergeCell ref="C3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F10" sqref="F10"/>
    </sheetView>
  </sheetViews>
  <sheetFormatPr baseColWidth="10" defaultColWidth="11" defaultRowHeight="21"/>
  <cols>
    <col min="1" max="1" width="31.08984375" style="1" customWidth="1"/>
    <col min="2" max="2" width="27.7265625" style="2" customWidth="1"/>
    <col min="3" max="3" width="24" style="2" customWidth="1"/>
    <col min="4" max="4" width="16.54296875" customWidth="1"/>
  </cols>
  <sheetData>
    <row r="1" spans="1:4">
      <c r="B1" s="2" t="s">
        <v>37</v>
      </c>
      <c r="C1" s="2" t="s">
        <v>38</v>
      </c>
      <c r="D1" t="s">
        <v>39</v>
      </c>
    </row>
    <row r="2" spans="1:4">
      <c r="A2" s="1" t="s">
        <v>40</v>
      </c>
      <c r="B2" s="3">
        <v>5.7423498513423503</v>
      </c>
      <c r="C2" s="2">
        <f>B2*$D$2/100</f>
        <v>14775.066167503899</v>
      </c>
      <c r="D2">
        <f>255300+2000</f>
        <v>257300</v>
      </c>
    </row>
    <row r="3" spans="1:4">
      <c r="A3" s="1" t="s">
        <v>30</v>
      </c>
      <c r="B3" s="4">
        <v>3.6370946066874401</v>
      </c>
      <c r="C3" s="2">
        <f t="shared" ref="C3:C10" si="0">B3*$D$2/100</f>
        <v>9358.2444230067795</v>
      </c>
    </row>
    <row r="4" spans="1:4">
      <c r="A4" s="1" t="s">
        <v>41</v>
      </c>
      <c r="B4" s="4">
        <v>25.924183949145501</v>
      </c>
      <c r="C4" s="2">
        <f t="shared" si="0"/>
        <v>66702.925301151394</v>
      </c>
    </row>
    <row r="5" spans="1:4">
      <c r="A5" s="1" t="s">
        <v>42</v>
      </c>
      <c r="B5" s="4">
        <v>11.9315466791601</v>
      </c>
      <c r="C5" s="2">
        <f t="shared" si="0"/>
        <v>30699.8696054789</v>
      </c>
    </row>
    <row r="6" spans="1:4">
      <c r="A6" s="1" t="s">
        <v>33</v>
      </c>
      <c r="B6" s="4">
        <v>24.785191358420999</v>
      </c>
      <c r="C6" s="2">
        <f t="shared" si="0"/>
        <v>63772.2973652172</v>
      </c>
    </row>
    <row r="7" spans="1:4">
      <c r="A7" s="1" t="s">
        <v>34</v>
      </c>
      <c r="B7" s="4">
        <v>5.2895911934890503</v>
      </c>
      <c r="C7" s="2">
        <f t="shared" si="0"/>
        <v>13610.1181408473</v>
      </c>
    </row>
    <row r="8" spans="1:4">
      <c r="A8" s="1" t="s">
        <v>35</v>
      </c>
      <c r="B8" s="4">
        <v>9.01891959479563</v>
      </c>
      <c r="C8" s="2">
        <f t="shared" si="0"/>
        <v>23205.6801174092</v>
      </c>
    </row>
    <row r="9" spans="1:4">
      <c r="A9" s="1" t="s">
        <v>43</v>
      </c>
      <c r="B9" s="4">
        <v>13.9139799098159</v>
      </c>
      <c r="C9" s="2">
        <f t="shared" si="0"/>
        <v>35800.670307956301</v>
      </c>
    </row>
    <row r="10" spans="1:4">
      <c r="A10" s="1" t="s">
        <v>20</v>
      </c>
      <c r="B10" s="5">
        <f>SUM(B2:B9)</f>
        <v>100.24285714285701</v>
      </c>
      <c r="C10" s="2">
        <f t="shared" si="0"/>
        <v>257924.871428571</v>
      </c>
    </row>
    <row r="11" spans="1:4">
      <c r="B11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ZICO</dc:creator>
  <cp:lastModifiedBy>ZICO</cp:lastModifiedBy>
  <dcterms:created xsi:type="dcterms:W3CDTF">2015-06-05T18:19:00Z</dcterms:created>
  <dcterms:modified xsi:type="dcterms:W3CDTF">2026-08-28T15:28:52Z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9D476C28124F407B89B4071FA26CAFD0_12</vt:lpwstr>
  </property>
  <property fmtid="{D5CDD505-2E9C-101B-9397-08002B2CF9AE}" pid="3" name="KSOProductBuildVer">
    <vt:lpwstr>1036-12.2.0.22549</vt:lpwstr>
  </property>
</Properties>
</file>